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BD 1Z" sheetId="1" r:id="rId4"/>
    <sheet state="visible" name="PBD 1M" sheetId="2" r:id="rId5"/>
    <sheet state="visible" name="PBD 1N" sheetId="3" r:id="rId6"/>
    <sheet state="visible" name="PBD 2M" sheetId="4" r:id="rId7"/>
    <sheet state="visible" name="PBD 2N" sheetId="5" r:id="rId8"/>
    <sheet state="visible" name="PBD 3Z" sheetId="6" r:id="rId9"/>
    <sheet state="visible" name="PBD 2Z" sheetId="7" r:id="rId10"/>
    <sheet state="visible" name="PBD 3M" sheetId="8" r:id="rId11"/>
    <sheet state="visible" name="PBD 3N" sheetId="9" r:id="rId12"/>
    <sheet state="visible" name="PBD 4Z" sheetId="10" r:id="rId13"/>
    <sheet state="visible" name="PBD 4M" sheetId="11" r:id="rId14"/>
    <sheet state="visible" name="PBD 4N" sheetId="12" r:id="rId15"/>
    <sheet state="visible" name="PBD 5Z" sheetId="13" r:id="rId16"/>
    <sheet state="visible" name="PBD 5M" sheetId="14" r:id="rId17"/>
    <sheet state="visible" name="PBD 5N" sheetId="15" r:id="rId18"/>
    <sheet state="visible" name="PBD 6Z" sheetId="16" r:id="rId19"/>
    <sheet state="visible" name="PBD 6M" sheetId="17" r:id="rId20"/>
    <sheet state="visible" name="PBD 6N" sheetId="18" r:id="rId21"/>
  </sheets>
  <definedNames/>
  <calcPr/>
  <extLst>
    <ext uri="GoogleSheetsCustomDataVersion2">
      <go:sheetsCustomData xmlns:go="http://customooxmlschemas.google.com/" r:id="rId22" roundtripDataChecksum="dvBKXx28bCHQcCnPNP+S58WF/wcohPqbB/Zz8r+GuIY="/>
    </ext>
  </extLst>
</workbook>
</file>

<file path=xl/sharedStrings.xml><?xml version="1.0" encoding="utf-8"?>
<sst xmlns="http://schemas.openxmlformats.org/spreadsheetml/2006/main" count="2070" uniqueCount="728">
  <si>
    <t>BORANG TRANSIT  PBD PENDIDIKAN ISLAM TAHUN 1 / 2026</t>
  </si>
  <si>
    <t>NAMA SEKOLAH                                       :</t>
  </si>
  <si>
    <t>SK COCHRANE PERKASA KUALA LUMPUR</t>
  </si>
  <si>
    <t xml:space="preserve">KELAS                            </t>
  </si>
  <si>
    <t>: 1 ZAMRUD</t>
  </si>
  <si>
    <t>MATA PELAJARAN                                    :</t>
  </si>
  <si>
    <t>PENDIDIKAN ISLAM</t>
  </si>
  <si>
    <t xml:space="preserve">NAMA GURU               </t>
  </si>
  <si>
    <r>
      <rPr>
        <rFont val="Calibri"/>
        <b/>
        <color theme="1"/>
        <sz val="15.0"/>
      </rPr>
      <t>:</t>
    </r>
    <r>
      <rPr>
        <rFont val="Calibri"/>
        <b/>
        <color theme="1"/>
        <sz val="15.0"/>
      </rPr>
      <t xml:space="preserve"> MUSLIHAH BINTI ZAKI / MUHAMMAD EZZAT BIN MALIKI</t>
    </r>
  </si>
  <si>
    <t>BIL</t>
  </si>
  <si>
    <t xml:space="preserve">NAMA MURID </t>
  </si>
  <si>
    <t>JANTINA</t>
  </si>
  <si>
    <t>BACAAN</t>
  </si>
  <si>
    <t>HAFAZAN</t>
  </si>
  <si>
    <t>AKIDAH</t>
  </si>
  <si>
    <t>IBADAT</t>
  </si>
  <si>
    <t>SIRAH</t>
  </si>
  <si>
    <t>ADAB</t>
  </si>
  <si>
    <t>JAWI</t>
  </si>
  <si>
    <t>TPS</t>
  </si>
  <si>
    <t>TP</t>
  </si>
  <si>
    <t>AL FATIHAH</t>
  </si>
  <si>
    <t>AL IKHLAS</t>
  </si>
  <si>
    <t>RUKUN IMAN</t>
  </si>
  <si>
    <t>RUKUN ISLAM</t>
  </si>
  <si>
    <t>ARRAHMAN/ARRAHIM</t>
  </si>
  <si>
    <t>AIR</t>
  </si>
  <si>
    <t>ISTINJAK</t>
  </si>
  <si>
    <t>WUDUK</t>
  </si>
  <si>
    <t>SOLAT FARDU</t>
  </si>
  <si>
    <t>RUKUN SOLAT</t>
  </si>
  <si>
    <t>KELAHIRAN NABI</t>
  </si>
  <si>
    <t>CIRI KEISTIMEWAAN</t>
  </si>
  <si>
    <t>PERIBADI NABI -KELUARGA</t>
  </si>
  <si>
    <t>KEBERSIHAN DIRI</t>
  </si>
  <si>
    <t>ADAB KELUARGA</t>
  </si>
  <si>
    <t>ADAB TRHADAP ALLAH</t>
  </si>
  <si>
    <t>ADAB TRHADAP RASUL</t>
  </si>
  <si>
    <t>HURUF TUNGGAL</t>
  </si>
  <si>
    <t>SUKU KATA TERBUKA</t>
  </si>
  <si>
    <t>P'KATAAN 2 S/KATA T'BUKA</t>
  </si>
  <si>
    <t>SUKU KATA TERTUTUP</t>
  </si>
  <si>
    <t>P'KATAAN 2 S/KATA T'TTP</t>
  </si>
  <si>
    <t>P'KATAAN S/KT T'BUKA TRTTP</t>
  </si>
  <si>
    <t>L</t>
  </si>
  <si>
    <t>P</t>
  </si>
  <si>
    <t>: 1 MUTIARA</t>
  </si>
  <si>
    <t>: WAN NADIAH BINTI WAN ADNAN / NOR FATIHA BINTI MOHAMAD</t>
  </si>
  <si>
    <t>: 1 NILAM</t>
  </si>
  <si>
    <t>: NUR ILLANI BINTI MD ARIFFIN / NUR JULIANA BINTI ABDUL JALIL</t>
  </si>
  <si>
    <t xml:space="preserve">BORANG TRANSIT  PBD PENDIDIKAN ISLAM TAHUN 2 / 2025 </t>
  </si>
  <si>
    <t>: 2 MUTIARA</t>
  </si>
  <si>
    <r>
      <rPr>
        <rFont val="Calibri"/>
        <b/>
        <color theme="1"/>
        <sz val="15.0"/>
      </rPr>
      <t>:</t>
    </r>
    <r>
      <rPr>
        <rFont val="Calibri"/>
        <color theme="1"/>
      </rPr>
      <t xml:space="preserve"> </t>
    </r>
  </si>
  <si>
    <t xml:space="preserve">HAFAZAN </t>
  </si>
  <si>
    <t>TAJWID</t>
  </si>
  <si>
    <t>AQIDAH</t>
  </si>
  <si>
    <t>AN NAS</t>
  </si>
  <si>
    <t>AL FALAQ</t>
  </si>
  <si>
    <t>MAD ASLI</t>
  </si>
  <si>
    <t>NUN/MIM SYADDAH</t>
  </si>
  <si>
    <t>SIFAT ALLAH</t>
  </si>
  <si>
    <t>AL AHAD/AS SOMAD</t>
  </si>
  <si>
    <t>MALAIKAT</t>
  </si>
  <si>
    <t>SYRT WAJIB/SAH SOLAT</t>
  </si>
  <si>
    <t>BACAAN WAJIB SOL</t>
  </si>
  <si>
    <t>BACAAN SUN. HAIAT</t>
  </si>
  <si>
    <t>TANDA KENABIAN</t>
  </si>
  <si>
    <t>AMANAH</t>
  </si>
  <si>
    <t>KEHIDUPAN BERSAHABAT</t>
  </si>
  <si>
    <t>MAKAN /MINUM</t>
  </si>
  <si>
    <t>BERSAHABAT</t>
  </si>
  <si>
    <t>BERDOA</t>
  </si>
  <si>
    <t>MENGASIHI RASUL</t>
  </si>
  <si>
    <t>PERKT 3 SUKU KATA</t>
  </si>
  <si>
    <t>RANGKAI KATA</t>
  </si>
  <si>
    <t>AYAT/TEKS PENDEK</t>
  </si>
  <si>
    <t>ADAM AL-FATEH BIN AHMED TARMEZEE</t>
  </si>
  <si>
    <t>ADAM DANISH HARRAZ BIN BADRULHISHAM</t>
  </si>
  <si>
    <t>AKIF ZAFRAN BIN ABDUL HAFIZ</t>
  </si>
  <si>
    <t>AL KHALED BIN RIZWAN</t>
  </si>
  <si>
    <t>ANAS ARSYAD BIN AZRI HISYAM</t>
  </si>
  <si>
    <t>ANIQ HAZIQ BIN RIZA</t>
  </si>
  <si>
    <t>ARIFF BIN MOHD ASHROFF</t>
  </si>
  <si>
    <t>AYRA QAISARAH BINTI MUHAMMAD NUR HIDAYAT</t>
  </si>
  <si>
    <t>CINTA DHIA KHAYLA BINTI FATHI KAMEEL</t>
  </si>
  <si>
    <t>IRFAN SHAUQI BIN SALEHIN</t>
  </si>
  <si>
    <t>KHAYRA DHIA MALAIKA BINTI RIDHUAN</t>
  </si>
  <si>
    <t>MAZRINA NUR IZRIN BINTI MEOR MUHAMMAD FAIESAL</t>
  </si>
  <si>
    <t>MUHAMMAD ALFI ZAIM BIN MOHD ZAIRUL ABIDIN</t>
  </si>
  <si>
    <t>MUHAMMAD ARYAN MIRZA BIN ASSAFAR</t>
  </si>
  <si>
    <t>MUHAMMAD ESHAN FIRDAUS BIN ZAINAL ABADI</t>
  </si>
  <si>
    <t>MUHAMMAD HAZIQ BIN MOHD NAFIS</t>
  </si>
  <si>
    <t>MUHAMMAD IKRAM BIN MUHAMMAD SHAHRIN</t>
  </si>
  <si>
    <t>MUHAMMAD KHAIRY NAZREL BIN SYAIRUL NAZMI</t>
  </si>
  <si>
    <t>MUHAMMAD ZHAHIRUL HAQ BIN MOHD ZHAFRI</t>
  </si>
  <si>
    <t>NUR ALYA ALEESYA BINTI KHAIRIL ADWIN</t>
  </si>
  <si>
    <t>NUR AMNI IMAN BINTI ZULKIFLI</t>
  </si>
  <si>
    <t>NUR FARHAANA HUMAIRA' BINTI MOHD FADRIZAL</t>
  </si>
  <si>
    <t>NUR HASYA ARIANA BINTI MOHD NORHAFIZ</t>
  </si>
  <si>
    <t>NURAINUL QALISHA IRDEENA BINTI ABDULLAH</t>
  </si>
  <si>
    <t>SAYYIDAH AFIFAH BINTI SOBREE SATOH</t>
  </si>
  <si>
    <t>SHEIKH AMSYAR SHAFIQ BIN SH AKMAL HAFIZI</t>
  </si>
  <si>
    <t>SITI NURZATUL FARISHA BINTI NOR AMIZA</t>
  </si>
  <si>
    <t>SYAZA NUREEN BINTI MOHD AZMI</t>
  </si>
  <si>
    <t>: 2 NILAM</t>
  </si>
  <si>
    <r>
      <rPr>
        <rFont val="Calibri"/>
        <b/>
        <color theme="1"/>
        <sz val="15.0"/>
      </rPr>
      <t>:</t>
    </r>
    <r>
      <rPr>
        <rFont val="Calibri"/>
        <color theme="1"/>
      </rPr>
      <t xml:space="preserve"> </t>
    </r>
  </si>
  <si>
    <t>AHMAD ADEN SAFUAN BIN MOHD FITHRI</t>
  </si>
  <si>
    <t>AHMAD IMRAN QAYYIM BIN MOHD HILMAN</t>
  </si>
  <si>
    <t>AZRAI DARWISH BIN AZHAR</t>
  </si>
  <si>
    <t>DHIYA AISYAH BINTI MOHAMAD PAUZI</t>
  </si>
  <si>
    <t>MOHAMAD ADAM RAYQAL BIN MOHAMAD NAZREEN</t>
  </si>
  <si>
    <t>MUHAMMAD ADIB NAUFAL BIN MOHAMAD SUHAIMI</t>
  </si>
  <si>
    <t>MUHAMMAD AMMAR AIDIL BIN MOHD SAIFUDDIN</t>
  </si>
  <si>
    <t>MUHAMMAD AQID NUR AMSYAR BIN NOR FAIZIN</t>
  </si>
  <si>
    <t>MUHAMMAD ARASY RAYHAN BIN MOHD AZROL IRWAN</t>
  </si>
  <si>
    <t>MUHAMMAD YUSUF BIN LUQMAN HAKIM</t>
  </si>
  <si>
    <t>NAZRIL ALI HAQIQI</t>
  </si>
  <si>
    <t>NIK MUHAMMAD DAIYAN AAQIL BIN NIK RADZIY</t>
  </si>
  <si>
    <t>NUR AISYAH NASUHA BINTI MOHD NASIRUDIN</t>
  </si>
  <si>
    <t>NUR ALIYA AQEELA BINTI MUHAMMAD AMEER</t>
  </si>
  <si>
    <t>NUR ARMEL AZZAHRA BINTI M ZARI</t>
  </si>
  <si>
    <t>NUR FITIYA HANA BINTI AHMAD FATHIL</t>
  </si>
  <si>
    <t>NUR MADIHAH UMAIRAH BINTI MUHAMMAD AMIR NASHARUDIN</t>
  </si>
  <si>
    <t>NUR MEDINA IRDIHA BINTI MULYOTO</t>
  </si>
  <si>
    <t>NUR SITI SYAMILA MIKAYLA BINTI ABDULLAH</t>
  </si>
  <si>
    <t>NURHANIFA RASYIDA BINTI HUZAIRUL ANUAR</t>
  </si>
  <si>
    <t>PUTRA JUHAIR ADIB BIN ABDULLAH</t>
  </si>
  <si>
    <t>SHAZWAN HELMY BIN HAFIZUL</t>
  </si>
  <si>
    <t xml:space="preserve">BORANG TRANSIT  PBD PENDIDIKAN ISLAM TAHUN 3 / 2025 </t>
  </si>
  <si>
    <t>: 3 ZAMRUD</t>
  </si>
  <si>
    <r>
      <rPr>
        <rFont val="Calibri"/>
        <b/>
        <color theme="1"/>
        <sz val="15.0"/>
      </rPr>
      <t>:</t>
    </r>
    <r>
      <rPr>
        <rFont val="Calibri"/>
        <color theme="1"/>
      </rPr>
      <t xml:space="preserve"> </t>
    </r>
  </si>
  <si>
    <t>KFHMN</t>
  </si>
  <si>
    <t>T</t>
  </si>
  <si>
    <t>H</t>
  </si>
  <si>
    <t>AL-KAFIRUN</t>
  </si>
  <si>
    <t>AL-ASR</t>
  </si>
  <si>
    <t>AL-FATIHAH</t>
  </si>
  <si>
    <t>HORMATI</t>
  </si>
  <si>
    <t>ALIM HAKIM</t>
  </si>
  <si>
    <t>KITAB</t>
  </si>
  <si>
    <t xml:space="preserve">HADAS </t>
  </si>
  <si>
    <t>SOLAT</t>
  </si>
  <si>
    <t>SUNAT/H&amp;A</t>
  </si>
  <si>
    <t>WAHYU</t>
  </si>
  <si>
    <t>TABLIGH</t>
  </si>
  <si>
    <t>HIDUP MSY</t>
  </si>
  <si>
    <t>TIDUR</t>
  </si>
  <si>
    <t>ILMU</t>
  </si>
  <si>
    <t>SYUKUR</t>
  </si>
  <si>
    <t>SUNNAH</t>
  </si>
  <si>
    <t>AWAL</t>
  </si>
  <si>
    <t>APIT</t>
  </si>
  <si>
    <t>AKHIR</t>
  </si>
  <si>
    <t>AISYA MARYAM BINTI KAMARUL RIDZUAN</t>
  </si>
  <si>
    <t>ARIANA DAREEN BINTI ABDUL KHALIQ</t>
  </si>
  <si>
    <t>ATA BIN ABDUL RAZAK</t>
  </si>
  <si>
    <t>BRENDA QASEH SUCI</t>
  </si>
  <si>
    <t>FATIMA ALISHA BINTI MUHAMMAD NUMAN</t>
  </si>
  <si>
    <t>HANAA BINTI MD KAZI MAHAMUD ALAM</t>
  </si>
  <si>
    <t>HANIY HANISA BINTI AHMAD RAZDAN</t>
  </si>
  <si>
    <t>IZZ KHAIRIZQ BIN MOHD IZWAN HAFIZ</t>
  </si>
  <si>
    <t>MASJAYDEN HANIS BIN MASHARIN</t>
  </si>
  <si>
    <t>MUHAMAD AQIL AL HAQ BIN MOHD AFZAINIZAM</t>
  </si>
  <si>
    <t>MUHAMMAD AL FATEH BIN MOHD ALFIAN</t>
  </si>
  <si>
    <t>MUHAMMAD AL GHAZALI BIN SULAIMAN</t>
  </si>
  <si>
    <t>MUHAMMAD ANAS ZAYYAN BIN ABDUL AZIZ</t>
  </si>
  <si>
    <t>MUHAMMAD FAEEQ FURQAN BIN AMIR SAFUAN</t>
  </si>
  <si>
    <t>MUHAMMAD FIRDAUS AL RIZZ SHAH BIN ABDUL RAHMAN</t>
  </si>
  <si>
    <t>MUHAMMAD HARITZ RAYQARL BIN MUHAMMAD SAFWAN</t>
  </si>
  <si>
    <t>MUHAMMAD HARRAZ NAUFAL BIN MUHAMMAD IRWAN YUSSOF</t>
  </si>
  <si>
    <t>MUHAMMAD IFFAT MUQRI BIN MOHD IRWAN</t>
  </si>
  <si>
    <t>MUHAMMAD KASHFI ZAYYAN BIN MOHD KHAIROL ANUAR</t>
  </si>
  <si>
    <t>MUHAMMAD NAUFAL BIN MOHD.FAUZI</t>
  </si>
  <si>
    <t>MUHAMMAD NOH MALEAQ BIN ALLIAS</t>
  </si>
  <si>
    <t>MUHAMMAD NOR ZAMANI ALIFF BIN MUHAMAD NORIZUAN</t>
  </si>
  <si>
    <t>MUHAMMAD ZAHIRUL BIN MUHAMAAD SAIFULRI</t>
  </si>
  <si>
    <t>MUHAMMAD ZIYAD LUQMAN BIN MOHD ZUBAIR</t>
  </si>
  <si>
    <t>NOOR ATHIRAH BINTI FAZRUL AZLAN</t>
  </si>
  <si>
    <t>NOR SHAFFEA AMANDA BINTI ABDUL HALIM</t>
  </si>
  <si>
    <t>NUR ADRINA ZAAHIYA BINTI MOHD FADLY IRWAN</t>
  </si>
  <si>
    <t>NUR ALMA HUSNA BINTI MOHAMMAD FAZLI</t>
  </si>
  <si>
    <t>NUR ATHIYYAH NAYRA BINTI MOHD NORMAN HASRUL HISAM</t>
  </si>
  <si>
    <t>NUR AZ-ZAHRA LUTHFIYAH BINTI ZULFIKRI</t>
  </si>
  <si>
    <t>NUR HANA AQEELA BINTI HIRWAN SHAH</t>
  </si>
  <si>
    <t>NUR HIDAYAH HUSNA BINTI MOHD HASUAN</t>
  </si>
  <si>
    <t>NUR IZZAH SAFEEYA BINTI MOHD ADAM</t>
  </si>
  <si>
    <t>NUR KHAIRINA BINTI MOHD KHAIRUDDIN</t>
  </si>
  <si>
    <t>NUR QESYA AULIA BINTI MOHD KHAIRUL</t>
  </si>
  <si>
    <t>NUR ZAHRA AISYAH BINTI MOHD SYAZWAN</t>
  </si>
  <si>
    <t>RAIHANAH SAFIYYAH BINTI SHAHRUL AZUANDI</t>
  </si>
  <si>
    <t>RAISYA DILARA BINTI RAHISHAM</t>
  </si>
  <si>
    <t>UMAR RIZQI BIN MOHAMAD FIKRI</t>
  </si>
  <si>
    <t>NUR SAFFA MELISSA</t>
  </si>
  <si>
    <t>: 2 ZAMRUD</t>
  </si>
  <si>
    <r>
      <rPr>
        <rFont val="Calibri"/>
        <b/>
        <color theme="1"/>
        <sz val="15.0"/>
      </rPr>
      <t>:</t>
    </r>
    <r>
      <rPr>
        <rFont val="Calibri"/>
        <color theme="1"/>
      </rPr>
      <t xml:space="preserve"> </t>
    </r>
  </si>
  <si>
    <t>ADAM IZZARIF BIN MOHAMMAD MUAZ</t>
  </si>
  <si>
    <t>AHMAD QAWIY BIN MOHD SHAZWAN</t>
  </si>
  <si>
    <t>AMIN ZAFRI BIN MOHD SALLEH</t>
  </si>
  <si>
    <t>AMMAR NAUFAL BIN SYAZWAN FIRDAUS</t>
  </si>
  <si>
    <t>ANAQI BIN ARIS</t>
  </si>
  <si>
    <t>ANEEQ FAHEEM BIN MUHAMAD FAIZ</t>
  </si>
  <si>
    <t>ARSLAN SULAIMAN BIN NAZIRUL MUBBIN</t>
  </si>
  <si>
    <t>ARTA SAFAEIREZAEI</t>
  </si>
  <si>
    <t>ARTIN SAFAEIREZAEI</t>
  </si>
  <si>
    <t>DHIA HAMANI BINTI ASRI</t>
  </si>
  <si>
    <t>EMIR ZAYAN HARRAZ BIN ZULNIZAM</t>
  </si>
  <si>
    <t>IFFAT IMANI BINTI MD ZAINI</t>
  </si>
  <si>
    <t>KHAIRUL MUIZ BIN ABDUL RAZAK</t>
  </si>
  <si>
    <t>MOHAMAD FAIQ ISKANDAR BIN MOHD SHAHRIEN</t>
  </si>
  <si>
    <t>MUHAMMAD AL-MAHDI FIRMAN BIN MUHAMMAD FIRDAUS</t>
  </si>
  <si>
    <t>MUHAMMAD ARYAN BIN MUHAMAD AZIZUL AKRAM</t>
  </si>
  <si>
    <t>MUHAMMAD LUTHFI HARRAZ BIN MOHD KARIM</t>
  </si>
  <si>
    <t>MUHAMMAD LUTH MIKHAEL BIN MOHD EDZUAN</t>
  </si>
  <si>
    <t>MUHAMMAD NADEEM QARIZH BIN MOHD NADHIR</t>
  </si>
  <si>
    <t>MUHAMMAD RAMADHAN BIN MD HANAPE</t>
  </si>
  <si>
    <t>MUHAMMAD RAYQAL ARIAN BIN MUHAMMAD AMIRUL ASYRAF</t>
  </si>
  <si>
    <t>NOOR JANNAH HUSNA BINTI AHMAD HAFFIZULLAH</t>
  </si>
  <si>
    <t>NUR'HAJAH AYRA THUFAILAH BINTI MOHD AZUDIN ISKANDAR</t>
  </si>
  <si>
    <t>NUR AQILA HUSNA BINTI MOHAMAD IDRIS</t>
  </si>
  <si>
    <t>NUR INSYIRAH TIHANI BINTI MOHD LOTFI</t>
  </si>
  <si>
    <t>NUR KHAYLA SOFEA BINTI MOHD SOFFEAN</t>
  </si>
  <si>
    <t>NURUL WAHIDAH BINTI MUHAMMAD AZAHAR</t>
  </si>
  <si>
    <t>SAFIYYAH HANNAH BINTI SHAMSUL NIZAM</t>
  </si>
  <si>
    <t>SITI NUR ASZHANI BINTI MOHAMAD ASZWAN</t>
  </si>
  <si>
    <t>WAN MUHAMMAD ZAYYAD DANIAL BIN WAN MUHAMMAD ZAHIER</t>
  </si>
  <si>
    <t>YUHANA FAHIMA BINTI MOHD YAZID</t>
  </si>
  <si>
    <t>ZAYYAN ZHARIFF BIN KHAIRUL HAFIZ ZHAFRI</t>
  </si>
  <si>
    <t>: 3 MUTIARA</t>
  </si>
  <si>
    <r>
      <rPr>
        <rFont val="Calibri"/>
        <b/>
        <color theme="1"/>
        <sz val="15.0"/>
      </rPr>
      <t>:</t>
    </r>
    <r>
      <rPr>
        <rFont val="Calibri"/>
        <color theme="1"/>
      </rPr>
      <t xml:space="preserve"> </t>
    </r>
  </si>
  <si>
    <t>ABDUL FATTAH RIZQI BIN AHMAD FU'AD</t>
  </si>
  <si>
    <t>AINAYYA FATHIYYATURAHMA BINTI INDRA KARTA SASWITA</t>
  </si>
  <si>
    <t>AMIRA URWATUN SHOFIYAH BINTI ABDULLAH</t>
  </si>
  <si>
    <t>AMMAR NAZRIN BIN AZAHARI</t>
  </si>
  <si>
    <t>ARISSA NISRINA BINTI AHMAD NAZIRUL</t>
  </si>
  <si>
    <t>AYRAA BINTI ZULFADLI AIZAT</t>
  </si>
  <si>
    <t>FARISYA HAZEERAH BINTI HAZWAN</t>
  </si>
  <si>
    <t>FATIN AWFIYAH RAMADHANI BINTI AZIZI HADI</t>
  </si>
  <si>
    <t>MUHAMMAD AIMAN RIZQI BIN MOHD RADHI</t>
  </si>
  <si>
    <t>MUHAMMAD ALFI HARITH BIN SHAIFUL AMRI</t>
  </si>
  <si>
    <t>MUHAMMAD AT-TAMIMI BIN AZALAN</t>
  </si>
  <si>
    <t>MUHAMMAD DANIAL AKRAM BIN AZIZUL</t>
  </si>
  <si>
    <t>MUHAMMAD FALIQ DHAFIN BIN MOHD.SHAHRIZAN</t>
  </si>
  <si>
    <t>MUHAMMAD FAYYADH BIN MOHD FAUZAN</t>
  </si>
  <si>
    <t>MUHAMMAD IZZ RAYYAN BIN ZAMRI</t>
  </si>
  <si>
    <t>MUHAMMAD KARL RAYYIS SHAH BIN ZAINAL ABADI</t>
  </si>
  <si>
    <t>MUHAMMAD RAID BIN ROZAIMI</t>
  </si>
  <si>
    <t>MUHAMMAD RAYYAN AMSYAR BIN MOHD NASARUDIN</t>
  </si>
  <si>
    <t>MUHAMMAD ZUL IRFAN BIN MUHAMMAD ZULAFIQAR</t>
  </si>
  <si>
    <t>NIDHAL REZA BIN REZAL MAZLI</t>
  </si>
  <si>
    <t>NIK MYSHA AYRA BINTI NIK NAZARUDDIN</t>
  </si>
  <si>
    <t>NOOR HAZIM AKMAL BIN NOOR AZHAM</t>
  </si>
  <si>
    <t>NOR AKHTAR NAZHAN BIN NOREMIN</t>
  </si>
  <si>
    <t>NUR ELYANA UMAIRAH BINTI MOHAMAD KHAIRUL</t>
  </si>
  <si>
    <t>NUR NAJWA AZZAHRA BINTI AHMAD FITRI</t>
  </si>
  <si>
    <t>NUR SYIFA ARISSA BINTI ERDIYONO</t>
  </si>
  <si>
    <t>NUR ZARA MARISSA BINTI AHMAD SHAH</t>
  </si>
  <si>
    <t>PUTERI NUR JANAH EISHRA BINTI ABDUL AZIM</t>
  </si>
  <si>
    <t>PUTRA NUR RIZQQI DARWISH BIN MOHD FAIZAL</t>
  </si>
  <si>
    <t>QALIFF RAQIB BIN MOHD FARIZ</t>
  </si>
  <si>
    <t>QAYS QAAYED UKASYAH BIN JAMALUDIN</t>
  </si>
  <si>
    <t>QIESYA EL LAURA BINTI SAIRUL ANUAR</t>
  </si>
  <si>
    <t>RAYYAN RAYQAL BIN MOHD RIDUAN</t>
  </si>
  <si>
    <t>SITI ADDAWYAH ZAHRA BINTI SUHAIMIE</t>
  </si>
  <si>
    <t>SURI SELENA BINTI MOHD SHAIFUL ANUAR</t>
  </si>
  <si>
    <t>SYARIFAH NUR AIN SYAHIDA BINTI SYED MOHD ASH-SHAIB</t>
  </si>
  <si>
    <t>SYARIFAH NUR AIN SYUHADA BINTI SYED MOHD ASH-SHAIB</t>
  </si>
  <si>
    <t>WAFA QAISARA BINTI AHMAD ROSLAN</t>
  </si>
  <si>
    <t>WAFIQ SYAAIRILLAH BIN SHAHRUL EFFENDI</t>
  </si>
  <si>
    <t>: 3 NILAM</t>
  </si>
  <si>
    <r>
      <rPr>
        <rFont val="Calibri"/>
        <b/>
        <color theme="1"/>
        <sz val="15.0"/>
      </rPr>
      <t>:</t>
    </r>
    <r>
      <rPr>
        <rFont val="Calibri"/>
        <color theme="1"/>
      </rPr>
      <t xml:space="preserve"> RUSHAMDA HAMAT / WAN NADIAH WAN ADNAN</t>
    </r>
  </si>
  <si>
    <t>ADAM IRFAN BIN MOHAMMAD MUAZ</t>
  </si>
  <si>
    <t>ADAM ZUNNURAIN BIN J.AKHIRILREDZA NORAKBAR</t>
  </si>
  <si>
    <t>AISYAA UFAIRAH BINTI MOHD ASRI</t>
  </si>
  <si>
    <t>ALEESYA HANEZ BINTI AMIRUDDIN</t>
  </si>
  <si>
    <t>ALYA ADRIANA BINTI MUSTAFAKAMAL</t>
  </si>
  <si>
    <t>ANAS RAIQAL BIN MOHD HAIRI</t>
  </si>
  <si>
    <t>ARRIYAN SHAFARAZ BIN AHMAD SAIFUDDIN</t>
  </si>
  <si>
    <t>AYSKAA OLIVIA HERLINA BINTI HENDRI SUGIYANTORO</t>
  </si>
  <si>
    <t>CHAUDHRY MUHAMMAD AIJAZ</t>
  </si>
  <si>
    <t>CHE HANAAN FAATIHAH BINTI CHE HAZUA</t>
  </si>
  <si>
    <t>FATEEN MADINAH BINTI HAIZAL LIZAM</t>
  </si>
  <si>
    <t>HANA ALISHA BINTI MOHD LOQMAN HAKIM</t>
  </si>
  <si>
    <t>IZZATUL INSYIRAH BINTI MOHAMED AZHAR</t>
  </si>
  <si>
    <t>MUHAMAD AARIZ ZAHIN BIN MOHD AKMAL</t>
  </si>
  <si>
    <t>MUHAMMAD ALLY AQEEL BIN MUHAMMAD AMEER</t>
  </si>
  <si>
    <t>MUHAMMAD ANAS BIN MOHD FATTA</t>
  </si>
  <si>
    <t>MUHAMMAD ANAS ISKANDAR BIN MOHD SAIFUL</t>
  </si>
  <si>
    <t>MUHAMMAD ARIF AZHAD BIN HARMAN NAZRI</t>
  </si>
  <si>
    <t>MUHAMMAD DANIYAL LUQMAN BIN MOHD SHAHRUL RIZAL</t>
  </si>
  <si>
    <t>MUHAMMAD FAYYADH ARYAN BIN ABDULLAH</t>
  </si>
  <si>
    <t>MUHAMMAD HADIF ZAYYAD BIN AZMAN</t>
  </si>
  <si>
    <t>MUHAMMAD HAZRIQ BIN KHAIRUL RAZIF</t>
  </si>
  <si>
    <t>MUHAMMAD IRFANSYAH BIN ABDUL GHANI</t>
  </si>
  <si>
    <t>MUHAMMAD SHARIF IZWAN BIN ABDUL AZIZ</t>
  </si>
  <si>
    <t>MUHAMMAD SHEIKH HAIKAL BIN AHMAD MURSYID</t>
  </si>
  <si>
    <t>MUHAMMAD TUFAIL AS-SIDDIQ BIN MOHD TARMIMI</t>
  </si>
  <si>
    <t>MUHAMMAD UMAR RAYYAN BIN MOHAMAD FAIRUL</t>
  </si>
  <si>
    <t>MUHAMMAD ZHILL ZAYYAN BIN MUHAMAD ZAFRUL</t>
  </si>
  <si>
    <t>NAAILA AMANI BINTI AHMAD FAZLI</t>
  </si>
  <si>
    <t>NAIM BIN YUSOF</t>
  </si>
  <si>
    <t>NOOR JANNAH HUMAIRAH BINTI AHMAD HAFFIZULLAH</t>
  </si>
  <si>
    <t>NUHA IRDINA BINTI MUHAMMAD SYAZWAN</t>
  </si>
  <si>
    <t>NUR ARIANA AFIA BINTI KHAIRUL AZMAN</t>
  </si>
  <si>
    <t>NUR ARISSA HANI BINTI MOHD ROZLIADY</t>
  </si>
  <si>
    <t>NUR DELISYA MIKAYLA BINTI MOHD SHARIFF</t>
  </si>
  <si>
    <t>NUR NABILAH QAISARA BINTI MOHD NABIRUL SASZLIE</t>
  </si>
  <si>
    <t>NUR QURRATU SYIFAA BINTI KHAIRUL FAIZAL</t>
  </si>
  <si>
    <t>NURZAHRA ZAFEERA BINTI KHAIRUL ANUAR</t>
  </si>
  <si>
    <t>RABIATUL ADAWIYAH BINTI MOHD AIDIL RAFAEE</t>
  </si>
  <si>
    <t xml:space="preserve">BORANG TRANSIT  PBD PENDIDIKAN ISLAM TAHUN 4 / 2025 </t>
  </si>
  <si>
    <t>KELAS                            :</t>
  </si>
  <si>
    <t>: 4 ZAMRUD</t>
  </si>
  <si>
    <t>NAMA GURU               :</t>
  </si>
  <si>
    <r>
      <rPr>
        <rFont val="Calibri"/>
        <b/>
        <color theme="1"/>
        <sz val="15.0"/>
      </rPr>
      <t>:</t>
    </r>
    <r>
      <rPr>
        <rFont val="Calibri"/>
        <b/>
        <color theme="1"/>
        <sz val="15.0"/>
      </rPr>
      <t xml:space="preserve"> ANA SAHIDA BINTI AB MUAI / MUHAMMAD EZZAT BIN MALIKI</t>
    </r>
  </si>
  <si>
    <t>AT TAKATHUR</t>
  </si>
  <si>
    <t>AL QARIAH</t>
  </si>
  <si>
    <t>MIM SAKINAH</t>
  </si>
  <si>
    <t>QALQALAH</t>
  </si>
  <si>
    <t>TANDA WAQAF</t>
  </si>
  <si>
    <t>TETAMU</t>
  </si>
  <si>
    <t>AL AZIM</t>
  </si>
  <si>
    <t>RASUL</t>
  </si>
  <si>
    <t>KUFUR</t>
  </si>
  <si>
    <t>NIFAQ</t>
  </si>
  <si>
    <t>NAJIS</t>
  </si>
  <si>
    <t>AZAN</t>
  </si>
  <si>
    <t>PUASA</t>
  </si>
  <si>
    <t>AQABAH</t>
  </si>
  <si>
    <t>FATONAH</t>
  </si>
  <si>
    <t>DAKWAH</t>
  </si>
  <si>
    <t>PAKAIAN</t>
  </si>
  <si>
    <t>RIADAH</t>
  </si>
  <si>
    <t>JIRAN</t>
  </si>
  <si>
    <t>GURU</t>
  </si>
  <si>
    <t>HAMZAH</t>
  </si>
  <si>
    <t>TRADISI</t>
  </si>
  <si>
    <t>INGGERIS</t>
  </si>
  <si>
    <t>ARAB</t>
  </si>
  <si>
    <t>ADIENDA JASMEEN  BINTI ADI IRWAN</t>
  </si>
  <si>
    <t>AINA ZULAIKHA BINTI AHMED TARMEZEE</t>
  </si>
  <si>
    <t>ANNESA NUR FAIHA  BINTI MUHAMAD FAIZ</t>
  </si>
  <si>
    <t>ANNURAA UMAIRAH BINTI MOHD ASRI</t>
  </si>
  <si>
    <t>ARDIYAN BIN ZULFA FIANDI</t>
  </si>
  <si>
    <t>DANIEL  BIN ZULFADLI AIZAT</t>
  </si>
  <si>
    <t>DHIA RAUDHAH BINTI MOHD DZUL-IKHWAN</t>
  </si>
  <si>
    <t>DURRAH NUR SABRINA BINTI ROSLAN</t>
  </si>
  <si>
    <t>EDY KURNIAWAN BIN NIRAM</t>
  </si>
  <si>
    <t>HANA BINTI AZIM</t>
  </si>
  <si>
    <t>IMAN ARIEF ZAFRAN BIN MOHD YUSRI</t>
  </si>
  <si>
    <t>IZZ KHALISH BIN MOHD IZWAN HAFIZ</t>
  </si>
  <si>
    <t>JASMINE MIKAELA BIN MOHD EDZUAN</t>
  </si>
  <si>
    <t>MUHAMAD IRSYAD AMSYAR BIN ANAFIAH</t>
  </si>
  <si>
    <t>MUHAMMAD ASYRIQ DANI BIN MOHD SAFRI</t>
  </si>
  <si>
    <t>MUHAMMAD FYRASH BIN MOHD SHARIFF</t>
  </si>
  <si>
    <t>MUHAMMAD QHALIFF BIN SULAIMI</t>
  </si>
  <si>
    <t>MUHAMMAD THAQIF AL-AMIN BIN MOHD TARMIMI</t>
  </si>
  <si>
    <t>MUHAMMAD YAFIQ IMAN BIN MOHD YAZID</t>
  </si>
  <si>
    <t>MUHAMMAD ZAYYAN RIZQI BIN MOHAMAD FIRDAUS</t>
  </si>
  <si>
    <t>NUR AIRA FAQIHAH BINTI MOHD AZHAR</t>
  </si>
  <si>
    <t>NUR FARISYA ADDEENA BINTI SARUDIN</t>
  </si>
  <si>
    <t>NUR NATISHA RAISSA BINTI NASARUDIN</t>
  </si>
  <si>
    <t>NUR ZAHRAA MIR BINTI  MUHAMMAD SALLEHIN</t>
  </si>
  <si>
    <t>NURJANNAH SHAKILA BINTI MUHD TAUFIK</t>
  </si>
  <si>
    <t>RABIATUL ADAWIYAH BINTI YUSOF</t>
  </si>
  <si>
    <t>SYAZA SYARMILLA  BINTI MOHD AZMI</t>
  </si>
  <si>
    <t>WAN AMIRUL HARITH BIN WAN AHMAD HARRISON</t>
  </si>
  <si>
    <t>ARHAAN ARSHAD BIN ARSHAD KHURSHID</t>
  </si>
  <si>
    <t>NURUL SHAHIRA BINTI WIRA</t>
  </si>
  <si>
    <t>QUE AYISH AIRIEL BIN FAQHRULISHAQ</t>
  </si>
  <si>
    <t>NUR AMIRA DAYANA BINTI MOHD AZMI</t>
  </si>
  <si>
    <t>: 4 MUTIARA</t>
  </si>
  <si>
    <r>
      <rPr>
        <rFont val="Calibri"/>
        <b/>
        <color theme="1"/>
        <sz val="15.0"/>
      </rPr>
      <t>:</t>
    </r>
    <r>
      <rPr>
        <rFont val="Calibri"/>
        <color theme="1"/>
      </rPr>
      <t xml:space="preserve"> RUSHAMDA HAMAT / NUR JULIANA ABDUL JALIL</t>
    </r>
  </si>
  <si>
    <t>ADAM ZAFRAN BIN AHMAD FAUZI</t>
  </si>
  <si>
    <t>AHMAD NAUFAL THAQIF BIN MOHAMMAD IZEHAR</t>
  </si>
  <si>
    <t>AMEERA SYUHADAH BINTI MOHD ZARIMAN</t>
  </si>
  <si>
    <t>ARISSA KHAIRINA BINTI RAZEE</t>
  </si>
  <si>
    <t>ARIZ ZIQRI ARSYAD BIN AHMAD ZHARIF</t>
  </si>
  <si>
    <t>FIRHAN SAIF BIN MOHD. KHAIRUDDIN</t>
  </si>
  <si>
    <t>JUNIE NUR AQILAH BINTI JUNID</t>
  </si>
  <si>
    <t>MUHAMMAD AL FATEH BIN SULAIMAN</t>
  </si>
  <si>
    <t>MUHAMMAD ALIF HAKIMI BIN NAZLI</t>
  </si>
  <si>
    <t>MUHAMMAD AZFAR RAZIN BIN KHAIZUL NIZAM</t>
  </si>
  <si>
    <t>MUHAMMAD HADIF BIN HARIZANI</t>
  </si>
  <si>
    <t>MUHAMMAD IFFAT ISA BIN NOOR FADZELY</t>
  </si>
  <si>
    <t>MUHAMMAD IMAN ZAKWAN BIN NUR SYAHIRAN</t>
  </si>
  <si>
    <t>MUHAMMAD IMRAN ARRAZI BIN MULYOTO</t>
  </si>
  <si>
    <t>MUHAMMAD SYAKIR ANAQI BIN MOHD SHAHAIREY</t>
  </si>
  <si>
    <t>NAUFAL ADITYA BIN RIZAL AFENDDY</t>
  </si>
  <si>
    <t>NOOR ALEESYA DHIA HUMAIRA BINTI AZIZUL RAHMAN</t>
  </si>
  <si>
    <t>NUR AISYAH FARHANAH BINTI MOHD SUZRIN</t>
  </si>
  <si>
    <t>NUR ALIYA SYAFIZA BINTI SAZALI</t>
  </si>
  <si>
    <t>NUR FARIHAH BINTI SUZAN KHAIRUL NIZAM</t>
  </si>
  <si>
    <t>NUR HANNAN BINTI ZULKIFLI</t>
  </si>
  <si>
    <t>NUR QAIRINA QAISARA BINTI MOHD JEFFRY</t>
  </si>
  <si>
    <t>NUR ZARA AISYAH BINTI KHAIRUDDIN</t>
  </si>
  <si>
    <t>NURUL HANNAH HAMRA BINTI MOHD HASRUL</t>
  </si>
  <si>
    <t>NURYUSRA BINTI MUHAMMAD YAZED</t>
  </si>
  <si>
    <t>PUTRI AISYA ALZAHRA BINTI JOHAN</t>
  </si>
  <si>
    <t>SITI NUR DIAN HUSNIAH BINTI MOHD NAZIM</t>
  </si>
  <si>
    <t>SITI NUR MIYA MAISARAH BINTI ABDUL MALIK</t>
  </si>
  <si>
    <t>SYED AARON DANISH BIN SYED SALEEM</t>
  </si>
  <si>
    <t>ZARITH LAILA KARMILA BINTI MOHD RIDZUAN</t>
  </si>
  <si>
    <t>ZULKARNAIN BIN MOHD JAMIL</t>
  </si>
  <si>
    <t>MUHAMMAD AQIL NAZRIL BIN MOHAMMAD SAPUAN</t>
  </si>
  <si>
    <t>MUHAMMAD LUTH FADH MIKADL BIN MOHAMAD ALIF BAZLI</t>
  </si>
  <si>
    <t>NA'ILAH AL FARAFISHAH BINTI MUHAMMAD SOLIHIN</t>
  </si>
  <si>
    <t>: 4 NILAM</t>
  </si>
  <si>
    <t>: SITI AISYAH SYAHIRAH BINTI AZMAN / NUR ILLANI BT MD ARIFFIN</t>
  </si>
  <si>
    <t>ADAM ZAFRAN BIN MOHD SALLEH</t>
  </si>
  <si>
    <t>ADELIA SAFFIYA BINTI MOHD ARIS</t>
  </si>
  <si>
    <t>AHMAD FAKHRI BIN AHMAD ISWARI</t>
  </si>
  <si>
    <t>AHMAD FARHAT ZHAFRAN BIN AHMAD ZAMRY</t>
  </si>
  <si>
    <t>AMMAR BAIHAQI BIN BAKRI</t>
  </si>
  <si>
    <t>ANNA ALTHAFUNNISA BINTI MOHD ALIFF DZULHAZIQ</t>
  </si>
  <si>
    <t>AZAD MUSLIM BIN NAZIRUL MUBBIN</t>
  </si>
  <si>
    <t>FATIEYA NUR KHAYLA BINTI AZLI HAFIZ</t>
  </si>
  <si>
    <t>IAN ZULKARNAIN BIN IMAN GERALD UMPI</t>
  </si>
  <si>
    <t>KHAYLA NUR ZAHRA BINTI MOHD NIZAM</t>
  </si>
  <si>
    <t>MOHAMAD RAYYAN DANIAL BIN ABDUL MUHAIMIN</t>
  </si>
  <si>
    <t>MUHAMMAD ADAM BIN MOHD SAZREEMI</t>
  </si>
  <si>
    <t>MUHAMMAD AMMAR LUTHFI BIN MOHD FAIZUL AFFANDI</t>
  </si>
  <si>
    <t>MUHAMMAD KHALISH ADHA BIN MOHD SHAHRUL FITRI</t>
  </si>
  <si>
    <t>MUHAMMAD AZAD NAFIZ BIN MOHAMAD AMINUDIN</t>
  </si>
  <si>
    <t>MUHAMMAD HAFREEZ RIZQI BIN ABDULLAH</t>
  </si>
  <si>
    <t>MUHAMMAD KHAIRIEN NAZRAN BIN SYAIRUL NAZMI</t>
  </si>
  <si>
    <t>MUHAMMAD RAID HARRAZ BIN ABDUL RAHIM</t>
  </si>
  <si>
    <t>MUHAMMAD RIDHWAN BIN MOHD SHAHRIZAN</t>
  </si>
  <si>
    <t>MUHAMMAD UMAR HADIF BIN MOHD FAWZUWAZ</t>
  </si>
  <si>
    <t>MUHAMMAD UWAIS HAFIY BIN SAIFUL UBAIDI</t>
  </si>
  <si>
    <t>NIK AARYAN SAM BIN NIK AREEF SAM</t>
  </si>
  <si>
    <t>AISYAH AZZAHRA BINTI MUHAMAD PAUZI</t>
  </si>
  <si>
    <t>NUR AFSHEEN ADZRA BINTI NAZRUL HYISHAM</t>
  </si>
  <si>
    <t>NUR AMNI SOFEA BINTI ZULKIFLI</t>
  </si>
  <si>
    <t>NUR DHIA ERYNA QAISARA BINTI MOHD NORHISHAM</t>
  </si>
  <si>
    <t>NUR FATHIAH ZULAIKHA BINTI MOHD FAIZUL AFFANDI</t>
  </si>
  <si>
    <t>NUR IRDINA QAIRINA BINTI FAIZA</t>
  </si>
  <si>
    <t>NUR LAILA LATIFAH BINTI SYAZWAN FIRDAUS</t>
  </si>
  <si>
    <t>NUR ZARA ANEESA BINTI MOHD SYAZWAN</t>
  </si>
  <si>
    <t>QAIREENA SOFYANA BINTI BAHAR SAMSUDDING</t>
  </si>
  <si>
    <t>SITI NURUL ARRIANNA DAMIA BINTI ABDULLAH</t>
  </si>
  <si>
    <t>SITI NUR UMAIRA BINTI MUHAMMAD ASIF SIDDIQUI</t>
  </si>
  <si>
    <t>NOR RAYSHA ADRIANA BINTI MOHD RAPET</t>
  </si>
  <si>
    <t xml:space="preserve">BORANG TRANSIT  PBD PENDIDIKAN ISLAM TAHUN 5 / 2025 </t>
  </si>
  <si>
    <t>: 5 ZAMRUD</t>
  </si>
  <si>
    <r>
      <rPr>
        <rFont val="Calibri"/>
        <b/>
        <color theme="1"/>
        <sz val="15.0"/>
      </rPr>
      <t>:</t>
    </r>
    <r>
      <rPr>
        <rFont val="Calibri"/>
        <b/>
        <color theme="1"/>
        <sz val="15.0"/>
      </rPr>
      <t xml:space="preserve">  ANA SAHIDA BINTI AB MUAI / WAN NADIAH BINTI WAN ADNAN</t>
    </r>
  </si>
  <si>
    <t>AL QADR</t>
  </si>
  <si>
    <t>AT TIN</t>
  </si>
  <si>
    <t>AL ASR</t>
  </si>
  <si>
    <t>MAD 2 HARKAT</t>
  </si>
  <si>
    <t>TAAT PEMIMPIN</t>
  </si>
  <si>
    <t>AL MALIK/ALHASIB</t>
  </si>
  <si>
    <t>HARI AKHIRAT</t>
  </si>
  <si>
    <t>SYIRIK</t>
  </si>
  <si>
    <t>SIHIR</t>
  </si>
  <si>
    <t>TAYAMMUM</t>
  </si>
  <si>
    <t>SOLAT JEMAAH</t>
  </si>
  <si>
    <t>SOLAT JUMAAT</t>
  </si>
  <si>
    <t>SOLAT RAYA</t>
  </si>
  <si>
    <t>HIJRAH</t>
  </si>
  <si>
    <t>ITQAN</t>
  </si>
  <si>
    <t>NABI PEMIMPIN</t>
  </si>
  <si>
    <t>KENDERAAN</t>
  </si>
  <si>
    <t>JUAL BELI</t>
  </si>
  <si>
    <t>KOMUNIKASI</t>
  </si>
  <si>
    <t>ALAM SEKITAR</t>
  </si>
  <si>
    <t>AMALAN HIDUP SIHAT</t>
  </si>
  <si>
    <t xml:space="preserve">KEBUDAYAAN </t>
  </si>
  <si>
    <t>PERAYAAN</t>
  </si>
  <si>
    <t>SUKAN</t>
  </si>
  <si>
    <t>KHAT NASAKH</t>
  </si>
  <si>
    <t>AATHIA ULFAH EE'RINA BINTI MOHAMMAD SHAHRUL NIZAM</t>
  </si>
  <si>
    <t>ADLI HAZIQ BIN RIZA</t>
  </si>
  <si>
    <t>ARDHANIA DAREEN BINTI ABDUL KHALIQ</t>
  </si>
  <si>
    <t>DHIA LARA MELLYSA BINTI MUHAMMAD SAFWAN</t>
  </si>
  <si>
    <t>HAZIQ RAYYAN BIN AHMAD SHAH</t>
  </si>
  <si>
    <t>IMAN ADELIA BINTI EFENDI</t>
  </si>
  <si>
    <t>KHALIS QURROTU'AINI BINTI KAMARUL</t>
  </si>
  <si>
    <t>MEGAT AKIL AIMY BIN MD FAISAL</t>
  </si>
  <si>
    <t>MUHAMAD AKMAL RAFIQ BIN MOHD KHAIRUL</t>
  </si>
  <si>
    <t>MUHAMMAD AIRIEL HADIF BIN ISMAIL</t>
  </si>
  <si>
    <t>MUHAMMAD AISY RAYQAL BIN MOHAMAD SUHAIMI</t>
  </si>
  <si>
    <t>MUHAMMAD AMMAR MUIZ BIN AZRIN</t>
  </si>
  <si>
    <t>MUHAMMAD ARIFF DZARIN BIN FAIRUS</t>
  </si>
  <si>
    <t>MUHAMMAD DAREEZ ZAUMAR BIN MOHD DHIYAUDDIN</t>
  </si>
  <si>
    <t>MUHAMMAD FAHEEM AIMAN BIN SUZAN KHAIRUL NIZAM</t>
  </si>
  <si>
    <t>MUHAMMAD FATEH BIN MOHD FAUZAN</t>
  </si>
  <si>
    <t>MUHAMMAD IKHLASH BIN MOHD FADLY IRWAN</t>
  </si>
  <si>
    <t>MUHAMMAD KHALEEF MIKAIL BIN MOHD KHAIROL ANUAR</t>
  </si>
  <si>
    <t>MUHAMMAD KHALISH RAYQAL BIN RIDHUAN</t>
  </si>
  <si>
    <t>MUHAMMAD SAIFUL ZAFUAN BIN MOHD NORISHAM</t>
  </si>
  <si>
    <t>NIYAZ FAYYAD RIZQI BIN MUHAMAD SAFWAN</t>
  </si>
  <si>
    <t>NOR SHAFEA AMELIA BINTI ABDUL HALIM</t>
  </si>
  <si>
    <t>NUR AIRIS AYESHA BINTI KHAIRUL RAZIF</t>
  </si>
  <si>
    <t>NUR ASYFA BATRISYIA BINTI MOHD SHAZWAN</t>
  </si>
  <si>
    <t>NUR SAFIA MEDINA BINTI  MASLANI</t>
  </si>
  <si>
    <t>NUR SARAH MARISA BINTI MASLANI</t>
  </si>
  <si>
    <t>NURAISYA BINTI MOHD ASHROFF</t>
  </si>
  <si>
    <t>PUTRA DANISH ISKANDAR BIN MUHAMAD HAIKAL</t>
  </si>
  <si>
    <t>SAFIYYAH HAFNI BINTI HAFIZUL</t>
  </si>
  <si>
    <t>SHAIFUL ARIF BIN SHAFIE</t>
  </si>
  <si>
    <t>SITI QAISARA RIFQAH BINTI MOHD SAIFUL</t>
  </si>
  <si>
    <t>UMMU RUMMAN BINTI MD ZAINI</t>
  </si>
  <si>
    <t>WAN MUADZ DAYYAN BIN WAN MUSTAFA</t>
  </si>
  <si>
    <t>YUSUF AS-SA'ADI BIN MOHD SUHAIMEE</t>
  </si>
  <si>
    <t>KHALISH ARYAN BIN KHAIRUL</t>
  </si>
  <si>
    <t>MUHAMMAD LUAY LAITH BIN MOHAMAD ALIF BAZLI</t>
  </si>
  <si>
    <t>NUR AMNI HUSNA BINTI BADRUL HISHAM</t>
  </si>
  <si>
    <t>: 5 MUTIARA</t>
  </si>
  <si>
    <t>:TUAN NORAINI BT TUAN MAHMUD / SITI AISYAH SYAHIRAH BT AZMAN</t>
  </si>
  <si>
    <t>ABU MALIQUE BIN RIZWAN</t>
  </si>
  <si>
    <t>AFFIEROL THAQIF BIN MOHD SHAMSUDDIN</t>
  </si>
  <si>
    <t>AHMAD FIRAS ZHAFRI BIN AHMAD ZAMRY</t>
  </si>
  <si>
    <t>CHE AIN DARWISYA BINTI CHE MOHD NASIR</t>
  </si>
  <si>
    <t>HANI NUR ZARA BINTI MOHD HAZROL</t>
  </si>
  <si>
    <t>INQA SYIFA JOHARI BINTI AZRIL JOHARI</t>
  </si>
  <si>
    <t>KAZI ADIB AL HANAN BIN MD KAZI MAHAMUD ALAM</t>
  </si>
  <si>
    <t>MUHAMAD HAQIMY ZAQUAN BIN MOHD NOR HAFIZ</t>
  </si>
  <si>
    <t>MUHAMMAD ADAM BIN MOHD HAFZZAL</t>
  </si>
  <si>
    <t>MUHAMMAD AL IMRAN BIN IBRAHIM</t>
  </si>
  <si>
    <t>MUHAMMAD ANAS RAKIB BIN ADIB</t>
  </si>
  <si>
    <t>MUHAMMAD EMIR AMSYAR BIN KHAIRUL ANUAR</t>
  </si>
  <si>
    <t>MUHAMMAD HAZIQ ZAFRAN BIN AZMAN</t>
  </si>
  <si>
    <t>MUHAMMAD ILHAM BIN ROZMANITA</t>
  </si>
  <si>
    <t>MUHAMMAD NADHIF RAYYAN BIN NASARUDIN</t>
  </si>
  <si>
    <t>MUHAMMAD RAID IRFAN BIN MOHD AZRI</t>
  </si>
  <si>
    <t>MUHAMMAD SHAH RAYYAN BIN ABDUL RAHMAN</t>
  </si>
  <si>
    <t>MUHAMMAD ZAHIN IRSYAD BIN ZAINAL</t>
  </si>
  <si>
    <t>NIK AFIQ DARWISY BIN AFDZAL</t>
  </si>
  <si>
    <t>NUFAIL ARSYAD BIN NOR IZWANI</t>
  </si>
  <si>
    <t>NUFAIL IRSYAD BIN NOR IZWANI</t>
  </si>
  <si>
    <t>NUR ADRIANA HALEESYA BINTI MUHAMMAD HAIRI</t>
  </si>
  <si>
    <t>NUR AIRIS RANIA BINTI AHMAD ROSLAN</t>
  </si>
  <si>
    <t>NUR AMIRAH ARIANA BINTI AMIR HAMZAH</t>
  </si>
  <si>
    <t>NUR AQILAH ZAHRA BINTI MOHD AKMAL</t>
  </si>
  <si>
    <t>NUR FATHIA ZAHRA BINTI MOHD HAFIZAN</t>
  </si>
  <si>
    <t>AHMAD WAIZ AUFA BIN AHMAD FATHUL WIDAD</t>
  </si>
  <si>
    <t>NUR MARYAM IRDINA BINTI MULYOTO</t>
  </si>
  <si>
    <t>NUR QISHA QAISARA BINTI MOHD NORHISHAM</t>
  </si>
  <si>
    <t>NUR SYUHAINA BINTI MEGAT HARIS</t>
  </si>
  <si>
    <t>NURLAILATUL HUSNA BINTI AHMAD MURSYID</t>
  </si>
  <si>
    <t>QAYL KZER AISY BIN MOHD ALIFF DZULHAZIQ</t>
  </si>
  <si>
    <t>SARAH HANNAH BINTI SHAMSUL NIZAM</t>
  </si>
  <si>
    <t>SITI NUR DAYANA NAJIBAH BINTI MOHD NAZIM</t>
  </si>
  <si>
    <t>SOFEA HANANI BINTI RUKMAN</t>
  </si>
  <si>
    <t>WAN NUR IMANINA BINTI WAN MOHD ZAMRI</t>
  </si>
  <si>
    <t>AYESHA ARSHAD BINTI ARSHAD KHURSHID</t>
  </si>
  <si>
    <t>NUR MUHAMMAD ALIMUDDIN ASSHAMSUDIN BIN BAHRISHA</t>
  </si>
  <si>
    <t>NAMA SEKOLAH                                              :</t>
  </si>
  <si>
    <t xml:space="preserve">: 5 NILAM </t>
  </si>
  <si>
    <t>MATA PELAJARAN                                           :</t>
  </si>
  <si>
    <r>
      <rPr>
        <rFont val="Calibri"/>
        <b/>
        <color theme="1"/>
        <sz val="15.0"/>
      </rPr>
      <t>:</t>
    </r>
    <r>
      <rPr>
        <rFont val="Calibri"/>
        <color theme="1"/>
      </rPr>
      <t xml:space="preserve"> </t>
    </r>
  </si>
  <si>
    <t>ADAM RAYQARL BIN MOHD FARIZ</t>
  </si>
  <si>
    <t>ALEEYA IRDINA BINTI YUSRIZAL</t>
  </si>
  <si>
    <t>AMMAR ZIQRI BIN MOHD SALLEH</t>
  </si>
  <si>
    <t>DHIA IRSALINA BINTI ZAILAN 'AZALI</t>
  </si>
  <si>
    <t>DZULAIKHA IWANA KAMAL AFANDI BINTI ABDUL RAHIM</t>
  </si>
  <si>
    <t>HANNAH SOFEA BINTI MOHD HAIRI</t>
  </si>
  <si>
    <t>IZZ AL AMIIN BIN MOHD SAZERI</t>
  </si>
  <si>
    <t>JUWAIRIYAH NUR SALSABILA BINTI INDRA KARTA SASWITA</t>
  </si>
  <si>
    <t>MOHAMMED RAID FAIQ BIN MOHAMMED BASHEER</t>
  </si>
  <si>
    <t>MUHAMMAD ALLY ADLEEN BIN MUHAMMAD AMEER</t>
  </si>
  <si>
    <t>MUHAMMAD AQIL AMILI BIN MOHD RIZZUAN</t>
  </si>
  <si>
    <t>MUHAMMAD ARIZ BIN MUHAMAD AZIZUL AKRAM</t>
  </si>
  <si>
    <t>MUHAMMAD DANISH BIN MOHD SHAHRIZAN</t>
  </si>
  <si>
    <t>MUHAMMAD DANISH UMAR BIN MUHAMMAD NUMAN AKRAM</t>
  </si>
  <si>
    <t>MUHAMMAD FATEH BIN AHMAD FADLI</t>
  </si>
  <si>
    <t>MUHAMMAD HANAN HARITH BIN MOHD FADZLI</t>
  </si>
  <si>
    <t>MUHAMMAD IFFAT BIN FIRDAUS</t>
  </si>
  <si>
    <t>MUHAMMAD ISMA MIKHAEL BIN MOHD IRWAN</t>
  </si>
  <si>
    <t>MUHAMMAD PUTERA SHARNAZZ BIN SHARMIZI</t>
  </si>
  <si>
    <t>MUHAMMAD RAYYAN BIN AZMI</t>
  </si>
  <si>
    <t>MUHAMMAD UWAIS LUQMAN BIN SAIFUL UBAIDI</t>
  </si>
  <si>
    <t>MUHAMMAD ZULFAQAR ZAYYAN BIN WAN FAIZAL</t>
  </si>
  <si>
    <t>NIK MUHAMMAD DARWISY MIKHAIL BIN NIK RADZIY</t>
  </si>
  <si>
    <t>NUR AIN QALEESYA BINTI MUHAMMAD AMIRUL</t>
  </si>
  <si>
    <t>NUR AISYAH ILYA AMANI BINTI NOR FAIZIN</t>
  </si>
  <si>
    <t>NUR AMNI RAUDHAH BINTI AHMAD SUKRY</t>
  </si>
  <si>
    <t>NUR ASYFA NISRINA BINTI MOHD MUKHZANI</t>
  </si>
  <si>
    <t>NUR EZZARA SOPHIA BINTI MUHAMMAD ZAHID</t>
  </si>
  <si>
    <t>NUR QAISARA BINTI SAHARUDDIN</t>
  </si>
  <si>
    <t>NUR ZARA ARISSA BINTI MOHD ZAIRY</t>
  </si>
  <si>
    <t>PUTERA MUHAMMAD AMMAR IRFAN BIN ABDUL HADI</t>
  </si>
  <si>
    <t>QAID AIMAN BIN MUHAMAD AL FIAN</t>
  </si>
  <si>
    <t>QISYA ALYA SAFFIYA BINTI BAHAR SAMSUDDING</t>
  </si>
  <si>
    <t>WAN SYAZWAN SULAIMAN BIN WAN HAZLAN</t>
  </si>
  <si>
    <t>MUHAMMMAD SULAIMAN BIN MD HANAPI</t>
  </si>
  <si>
    <t>BORANG TRANSIT PBD PENDIDIKAN ISLAM TAHUN 6 / 2025</t>
  </si>
  <si>
    <t>6 ZAMRUD ( 2025 )</t>
  </si>
  <si>
    <t xml:space="preserve">NAMA GURU               : </t>
  </si>
  <si>
    <t>ANA SAHIDA BINTI AB MUAI / SITI AISYAH SYAHIRAH BINTI AZMAN</t>
  </si>
  <si>
    <t>AS SHARH</t>
  </si>
  <si>
    <t>AD DHUHA</t>
  </si>
  <si>
    <t>AS AHARH</t>
  </si>
  <si>
    <t>AL MAUUN</t>
  </si>
  <si>
    <t>MAD 2,4,6</t>
  </si>
  <si>
    <t>MAD 4,5</t>
  </si>
  <si>
    <t>MAD 6</t>
  </si>
  <si>
    <t>RASUAH</t>
  </si>
  <si>
    <t>ALHADI/AL ADL</t>
  </si>
  <si>
    <t>QADA' QADAR</t>
  </si>
  <si>
    <t>KHURAFAT</t>
  </si>
  <si>
    <t>RIDDAH</t>
  </si>
  <si>
    <t>JENIS HUKUM</t>
  </si>
  <si>
    <t>SOLAT SAKIT</t>
  </si>
  <si>
    <t>SOLAT JENAZAH</t>
  </si>
  <si>
    <t>PEM. MADINAH</t>
  </si>
  <si>
    <t>TASAMMUH</t>
  </si>
  <si>
    <t>JIHAD</t>
  </si>
  <si>
    <t>PERGAULAN</t>
  </si>
  <si>
    <t>ZIARAH</t>
  </si>
  <si>
    <t>BERNEGARA</t>
  </si>
  <si>
    <t>HARTA AWAM</t>
  </si>
  <si>
    <t>SAINS TEKNOLOGI</t>
  </si>
  <si>
    <t>KESENIAN ISLAM</t>
  </si>
  <si>
    <t>TEKNOLOGI MAYA</t>
  </si>
  <si>
    <t>KHAT RIQ'AH</t>
  </si>
  <si>
    <t>ADWA DURRANY BINTI YAWAD MUKMININ</t>
  </si>
  <si>
    <t>AHMAD AQIF MIQAEL BIN AHMAD ROSLAN</t>
  </si>
  <si>
    <t>AHMAD RADHI AMMAR BIN RUSDI</t>
  </si>
  <si>
    <t>ALYA IRDINA BINTIMOHAMMAD MUAZ</t>
  </si>
  <si>
    <t>AMIRUL QAYYIM BIN KAMARULZAMAN</t>
  </si>
  <si>
    <t>AQIL HAIKAL BIN AMIRUDDIN</t>
  </si>
  <si>
    <t>AQILAH MAIRA MARISSA BINTI ABDUL HAFIZ</t>
  </si>
  <si>
    <t>CHAUDHRY MUHAMMAD ASHAZ</t>
  </si>
  <si>
    <t>HUMAIRA MALAEKA BINTI HARIZANI</t>
  </si>
  <si>
    <t>KHALEEF ZHAFRAN BIN RAHMAT ALMINSYAH</t>
  </si>
  <si>
    <t>MOHAMMAD AQIL ILYAS BIN MOHD ZHARIF</t>
  </si>
  <si>
    <t>MUHAMAD AQIL ZHIQRI BIN MOHD AKMAL</t>
  </si>
  <si>
    <t>MUHAMMAD IRSYAD THAQIF BIN MOHD AZMI</t>
  </si>
  <si>
    <t>MUHAMMAD ASYRAF ARYAN BIN NUR SYAHIRAN</t>
  </si>
  <si>
    <t>MUHAMMAD DAYYAN HARITH BIN SARUDIN</t>
  </si>
  <si>
    <t>MUHAMMAD FAZRUL SHAZREEN BIN ABDUL FASHAH</t>
  </si>
  <si>
    <t>MUHAMMAD ILMAN IZANI BIN MOHD SANI</t>
  </si>
  <si>
    <t>MUHAMMAD RAEEF HAQEEM BIN MOHD TERMIZI</t>
  </si>
  <si>
    <t>MUHAMMAD SYAFI RAIHAN BINMOHD JAZLI</t>
  </si>
  <si>
    <t>MUHAMMAD ZHARIFF ZIKRI BIN IBRAHIM</t>
  </si>
  <si>
    <t>NOOR AMANI ZARA HAZRINA BINTI AZIZUL RAHMAN</t>
  </si>
  <si>
    <t>NUR AINAN FATNIN BINTI MOHD AZHAR</t>
  </si>
  <si>
    <t>NUR DAMIA HANANIA BINTI KHAIRUL RAZIF</t>
  </si>
  <si>
    <t>NUR IZZ FIRAS BIN MD IZZAT</t>
  </si>
  <si>
    <t>NUR SHAHIRATUL ROSIDAH BITI SHAFIE</t>
  </si>
  <si>
    <t>NURUL HANNAH HUMAIRAH BINTI MOHD HASRUL</t>
  </si>
  <si>
    <t>NURUL SYIFA ZAFIRA BINTI MOHD SHAH EFENDI</t>
  </si>
  <si>
    <t>PUTRA DARWISH ISKANDAR BIN MUHAMAD HAIKAL</t>
  </si>
  <si>
    <t>PUTRA HAZEEQ AIMAN BIN HUSAINI</t>
  </si>
  <si>
    <t>QISYA IZZ ZARA BIN SYAIFUL NIEZAM</t>
  </si>
  <si>
    <t>SYED SAFEER BBIN SYED ALI</t>
  </si>
  <si>
    <t>TENGKU ZARA HUSNA BINTI TENGKU AZIZ</t>
  </si>
  <si>
    <t>UMAR KHALEEF BIN AHMAD ALHADI</t>
  </si>
  <si>
    <t>WAN SARAH KHALISHA BINTI WAN AHMAD HARRISON</t>
  </si>
  <si>
    <t>ZAM HARRIS ZULQARNAIN BIN ZAMZAIRI</t>
  </si>
  <si>
    <t>MUHAMMAD AMMAR SAIFULLAH BIN AZALAN</t>
  </si>
  <si>
    <t>6 MUTIARA ( 2025 )</t>
  </si>
  <si>
    <t>RUSHAMDA HAMAT / AHMAD FATTHI AHMAD SAUPI</t>
  </si>
  <si>
    <t>ADY FARHAN BIN FAZRUL AZLAN</t>
  </si>
  <si>
    <t>AHMAD RADHI AMEER BIN RUSDI</t>
  </si>
  <si>
    <t>AISHAH BINTI MOHD HASBULLAH</t>
  </si>
  <si>
    <t>AISY FIRAASSYA BINTI OTHMAN</t>
  </si>
  <si>
    <t>AMIR ZIQRI BIN ZULKIFLI</t>
  </si>
  <si>
    <t>AMIRAH DARWISYAH BINTI AHMAD AMRI</t>
  </si>
  <si>
    <t>ANAS THAQIF BIN A EZANE MANSOR</t>
  </si>
  <si>
    <t>ARASH AMIRI</t>
  </si>
  <si>
    <t>AUDRA MISHEL BINTI AZLAN SHAH</t>
  </si>
  <si>
    <t>AULIA IBBATUNN ISA</t>
  </si>
  <si>
    <t>DARWISYA KHAYREENA BINTI SYAHRUL EFFENDY</t>
  </si>
  <si>
    <t>DHEA LARYSSA BINTI MOHD NAZRUL HAFIZ</t>
  </si>
  <si>
    <t>FATHIYA HARITHA BINTI HAZWAN</t>
  </si>
  <si>
    <t>IZARA SOFEA BINTI AZALI</t>
  </si>
  <si>
    <t>MOHAMMAD ADAM RIFA'IE BIN MOHD AZROL IRWAN</t>
  </si>
  <si>
    <t>MUHAMMAD ADAM HAKIM BIN ABDUL HALIM</t>
  </si>
  <si>
    <t>MUHAMMAD AIRASH IRWAN BIN MOHD KRIWAN</t>
  </si>
  <si>
    <t>MUHAMMAD AL-FATEH BIN MOHD ZARIMAN</t>
  </si>
  <si>
    <t>MUHAMMAD DANIYAL BIN NOR AZHAR</t>
  </si>
  <si>
    <t>MUHAMMAD EMIR ARMANI AIZAT BIN ABDUL AFUW</t>
  </si>
  <si>
    <t>MUHAMMAD HAZMI HAKIM BIN MOHD HAZROL</t>
  </si>
  <si>
    <t>MUHAMMAD PUTERA SHAHEYZIE BIN ABDULLAH</t>
  </si>
  <si>
    <t>MUHAMMAD QHALEEF ILMAN BIN MOHD TAJUL</t>
  </si>
  <si>
    <t>MUHAMMAD UMAR YUSUF BIN MOHD FAWZUWAZ</t>
  </si>
  <si>
    <t>MUHAMMAD ZAKWAN IRFAN BIN ZAINAL</t>
  </si>
  <si>
    <t>NIYAZ REZA BIN REZAL MAZLI</t>
  </si>
  <si>
    <t>NOOR AIFUL ATISYA BINTI MD HABIBULLAH BAHAR</t>
  </si>
  <si>
    <t>NORQASZYIM RAZMY BIN AB RAZAK</t>
  </si>
  <si>
    <t>NUR AIN ZAFEERAH BINTI KHAIZUL NIZAM</t>
  </si>
  <si>
    <t>NUR ALYAA KHALISA BINTI AHMAD FITRI</t>
  </si>
  <si>
    <t>NUR QAIREEN ARISSA BINTI HAFIZ</t>
  </si>
  <si>
    <t>NUR QYESTIENA ERLIESYA BINTI NORDIN</t>
  </si>
  <si>
    <t>NUR ZAHRA SOFEA BINTI MOHAMAD FAIRUL</t>
  </si>
  <si>
    <t>NURUL ARISSA ZARA BINTI NURUL RHIZHUAN</t>
  </si>
  <si>
    <t>QHAIRA SUFIE BINTI MOHD SHARIFUDDIN</t>
  </si>
  <si>
    <t>QYLL ADAM QAISER BIN MOHAMAD KHAIRULNIZAM</t>
  </si>
  <si>
    <t>WAFIY SYAAIRILLAH BIN SHAHRUL EFFENDI</t>
  </si>
  <si>
    <t xml:space="preserve">6 NILAM </t>
  </si>
  <si>
    <t>ADAM DARWISY HAIKAL BIN BADRULHISHAM</t>
  </si>
  <si>
    <t>AIMY NUR SAFIYYAH BINTI MOHD SHAHAZA</t>
  </si>
  <si>
    <t>AL NUR RAYYAN AMSYAR BIN ZAKARIA</t>
  </si>
  <si>
    <t>ALEEYA ZHAFIRAH BINTI YUSRIZAL</t>
  </si>
  <si>
    <t>AMMAR BAIHAQI BIN NASRUL HAKIM</t>
  </si>
  <si>
    <t>AQIL HAZIQ BIN RIZA</t>
  </si>
  <si>
    <t>AQIL ZAKWAN BIN AMIRUL AMINUR</t>
  </si>
  <si>
    <t>AQIL AIMAN</t>
  </si>
  <si>
    <t>ARINA BINTI MOHD NAJMI</t>
  </si>
  <si>
    <t>DAHLIA AMANI  BINTI MOHAMAD PAUZI</t>
  </si>
  <si>
    <t>HADIF ARFAN BIN HASRUL ZAIDI</t>
  </si>
  <si>
    <t>IMAN ARYAN RAFIQIE BIN MOHD YUSRI</t>
  </si>
  <si>
    <t>IRIS KAMELIA BINTI IMAN GERALD UMPI</t>
  </si>
  <si>
    <t>KHALISH ARYAN BIN MOHAMAD KASHMUNIR</t>
  </si>
  <si>
    <t>MEOR HAZIMI ILHAM BIN MEOR MUHAMMAD FAIESAL</t>
  </si>
  <si>
    <t>MUHAMAD ISYRAF WAFRI BIN ANAFIAH</t>
  </si>
  <si>
    <t>MUHAMMAD AZFAR THAQIFF BIN MOHD AZUDIN ISKANDAR</t>
  </si>
  <si>
    <t>MUHAMMAD DHANI MIKHAEL BIN MOHD EDZUAN</t>
  </si>
  <si>
    <t>MUHAMMAD IFFAT HAMZAH BIN NOOR FADZLEY</t>
  </si>
  <si>
    <t>MUHAMMAD IZZ RAYYAN BIN MOHD FADELY</t>
  </si>
  <si>
    <t>MUHAMMAD QAIF AMERULLAH BIN FANDEE MOHD</t>
  </si>
  <si>
    <t>MUHAMMAD RAFIE ZAFRAN BIN MOHD ROZAIMI</t>
  </si>
  <si>
    <t>MUHAMMAD ZAKARIA BIN MIHAMMAD AZAHAR</t>
  </si>
  <si>
    <t>NIK AZALEIA AZMI BINTI NIK AZWAA AZMI</t>
  </si>
  <si>
    <t>NOR AMMAR MIKHAIL BIN NOR AZAHARIN</t>
  </si>
  <si>
    <t>NUR ADELIA ARISSA BINTI HARIYANTO</t>
  </si>
  <si>
    <t>NUR ALEESYA SAFIYYA BINTI MOHD AZIZI</t>
  </si>
  <si>
    <t>NUR FARISHA NABILA BINTI JUMAIN</t>
  </si>
  <si>
    <t>NUR IZZARA ARYANA BINTI ABDULLAH</t>
  </si>
  <si>
    <t>NUR KHALISAH SAFIYAH BINTI M.YAZID BAKIRIN</t>
  </si>
  <si>
    <t>NUR QAISARAH BATRISYAH BINTI MOHD SHAHDI</t>
  </si>
  <si>
    <t>NUR ZARA ARISSA BINTI MOHD ZUBAIR</t>
  </si>
  <si>
    <t>NURUL ANNISA SUMAYYAH BINTI AHMAD ZAKI</t>
  </si>
  <si>
    <t>NURUL ANNISA ZAFIRAH BINTI AHMAD ZAKI</t>
  </si>
  <si>
    <t>PUTRA NUR RAYYAN DANISH BIN MOHD FAIZAL</t>
  </si>
  <si>
    <t>SARA AURISSA BINTI MOHD SHAIFUL ANUAR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</si>
</sst>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2000401]0"/>
  </numFmts>
  <fonts count="21">
    <font>
      <sz val="12.0"/>
      <color theme="1"/>
      <name val="Calibri"/>
      <scheme val="minor"/>
    </font>
    <font>
      <b/>
      <sz val="15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color theme="1"/>
      <name val="Calibri"/>
    </font>
    <font>
      <b/>
      <sz val="15.0"/>
      <color rgb="FF000000"/>
      <name val="Calibri"/>
    </font>
    <font>
      <sz val="6.0"/>
      <color theme="1"/>
      <name val="Calibri"/>
    </font>
    <font>
      <sz val="10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6.0"/>
      <color theme="1"/>
      <name val="Calibri"/>
    </font>
    <font>
      <sz val="12.0"/>
      <color rgb="FF000000"/>
      <name val="Calibri"/>
    </font>
    <font>
      <sz val="5.0"/>
      <color theme="1"/>
      <name val="Calibri"/>
    </font>
    <font>
      <sz val="9.0"/>
      <color rgb="FF000000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CF83D4"/>
        <bgColor rgb="FFCF83D4"/>
      </patternFill>
    </fill>
    <fill>
      <patternFill patternType="solid">
        <fgColor rgb="FFFEF2CB"/>
        <bgColor rgb="FFFEF2CB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898AA"/>
        <bgColor rgb="FFF898AA"/>
      </patternFill>
    </fill>
    <fill>
      <patternFill patternType="solid">
        <fgColor rgb="FF00B0C0"/>
        <bgColor rgb="FF00B0C0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CCFF33"/>
        <bgColor rgb="FFCCFF33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66CCFF"/>
        <bgColor rgb="FF66CCFF"/>
      </patternFill>
    </fill>
    <fill>
      <patternFill patternType="solid">
        <fgColor rgb="FF66FFFF"/>
        <bgColor rgb="FF66FFFF"/>
      </patternFill>
    </fill>
    <fill>
      <patternFill patternType="solid">
        <fgColor rgb="FFFF99CC"/>
        <bgColor rgb="FFFF99CC"/>
      </patternFill>
    </fill>
    <fill>
      <patternFill patternType="solid">
        <fgColor rgb="FF9966FF"/>
        <bgColor rgb="FF9966FF"/>
      </patternFill>
    </fill>
    <fill>
      <patternFill patternType="solid">
        <fgColor rgb="FFFF6600"/>
        <bgColor rgb="FFFF6600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FF0000"/>
        <bgColor rgb="FFFF0000"/>
      </patternFill>
    </fill>
    <fill>
      <patternFill patternType="solid">
        <fgColor rgb="FFDC808A"/>
        <bgColor rgb="FFDC808A"/>
      </patternFill>
    </fill>
    <fill>
      <patternFill patternType="solid">
        <fgColor theme="7"/>
        <bgColor theme="7"/>
      </patternFill>
    </fill>
  </fills>
  <borders count="9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/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0" fillId="0" fontId="3" numFmtId="0" xfId="0" applyFont="1"/>
    <xf borderId="0" fillId="0" fontId="4" numFmtId="0" xfId="0" applyAlignment="1" applyFont="1">
      <alignment horizontal="center"/>
    </xf>
    <xf borderId="5" fillId="0" fontId="5" numFmtId="0" xfId="0" applyBorder="1" applyFont="1"/>
    <xf borderId="4" fillId="0" fontId="5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6" fillId="0" fontId="3" numFmtId="0" xfId="0" applyBorder="1" applyFont="1"/>
    <xf borderId="7" fillId="0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vertical="center"/>
    </xf>
    <xf borderId="7" fillId="0" fontId="2" numFmtId="0" xfId="0" applyBorder="1" applyFont="1"/>
    <xf borderId="7" fillId="0" fontId="1" numFmtId="0" xfId="0" applyAlignment="1" applyBorder="1" applyFont="1">
      <alignment horizontal="left" readingOrder="0" vertical="center"/>
    </xf>
    <xf borderId="7" fillId="0" fontId="5" numFmtId="0" xfId="0" applyBorder="1" applyFont="1"/>
    <xf borderId="8" fillId="0" fontId="5" numFmtId="0" xfId="0" applyBorder="1" applyFont="1"/>
    <xf borderId="0" fillId="0" fontId="7" numFmtId="0" xfId="0" applyFont="1"/>
    <xf borderId="9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textRotation="90" vertical="center"/>
    </xf>
    <xf borderId="11" fillId="2" fontId="9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1" fillId="3" fontId="9" numFmtId="0" xfId="0" applyAlignment="1" applyBorder="1" applyFill="1" applyFont="1">
      <alignment horizontal="center" vertical="center"/>
    </xf>
    <xf borderId="11" fillId="4" fontId="9" numFmtId="0" xfId="0" applyAlignment="1" applyBorder="1" applyFill="1" applyFont="1">
      <alignment horizontal="center" vertical="center"/>
    </xf>
    <xf borderId="11" fillId="5" fontId="9" numFmtId="0" xfId="0" applyAlignment="1" applyBorder="1" applyFill="1" applyFont="1">
      <alignment horizontal="center" vertical="center"/>
    </xf>
    <xf borderId="11" fillId="6" fontId="9" numFmtId="0" xfId="0" applyAlignment="1" applyBorder="1" applyFill="1" applyFont="1">
      <alignment horizontal="center" vertical="center"/>
    </xf>
    <xf borderId="11" fillId="7" fontId="9" numFmtId="0" xfId="0" applyAlignment="1" applyBorder="1" applyFill="1" applyFont="1">
      <alignment horizontal="center" vertical="center"/>
    </xf>
    <xf borderId="11" fillId="8" fontId="9" numFmtId="0" xfId="0" applyAlignment="1" applyBorder="1" applyFill="1" applyFont="1">
      <alignment horizontal="center"/>
    </xf>
    <xf borderId="14" fillId="9" fontId="9" numFmtId="0" xfId="0" applyAlignment="1" applyBorder="1" applyFill="1" applyFont="1">
      <alignment horizontal="center" textRotation="90" vertical="center"/>
    </xf>
    <xf borderId="15" fillId="0" fontId="2" numFmtId="0" xfId="0" applyBorder="1" applyFont="1"/>
    <xf borderId="16" fillId="0" fontId="2" numFmtId="0" xfId="0" applyBorder="1" applyFont="1"/>
    <xf borderId="17" fillId="2" fontId="9" numFmtId="0" xfId="0" applyAlignment="1" applyBorder="1" applyFont="1">
      <alignment horizontal="center" textRotation="90" vertical="center"/>
    </xf>
    <xf borderId="9" fillId="2" fontId="9" numFmtId="0" xfId="0" applyAlignment="1" applyBorder="1" applyFont="1">
      <alignment horizontal="center" textRotation="90" vertical="center"/>
    </xf>
    <xf borderId="18" fillId="2" fontId="9" numFmtId="0" xfId="0" applyAlignment="1" applyBorder="1" applyFont="1">
      <alignment horizontal="center" textRotation="90" vertical="center"/>
    </xf>
    <xf borderId="17" fillId="3" fontId="9" numFmtId="0" xfId="0" applyAlignment="1" applyBorder="1" applyFont="1">
      <alignment horizontal="center" textRotation="90" vertical="center"/>
    </xf>
    <xf borderId="9" fillId="3" fontId="9" numFmtId="0" xfId="0" applyAlignment="1" applyBorder="1" applyFont="1">
      <alignment horizontal="center" textRotation="90" vertical="center"/>
    </xf>
    <xf borderId="18" fillId="3" fontId="9" numFmtId="0" xfId="0" applyAlignment="1" applyBorder="1" applyFont="1">
      <alignment horizontal="center" textRotation="90" vertical="center"/>
    </xf>
    <xf borderId="17" fillId="4" fontId="9" numFmtId="0" xfId="0" applyAlignment="1" applyBorder="1" applyFont="1">
      <alignment horizontal="center" textRotation="90" vertical="center"/>
    </xf>
    <xf borderId="9" fillId="4" fontId="9" numFmtId="0" xfId="0" applyAlignment="1" applyBorder="1" applyFont="1">
      <alignment horizontal="center" textRotation="90" vertical="center"/>
    </xf>
    <xf borderId="9" fillId="4" fontId="9" numFmtId="0" xfId="0" applyAlignment="1" applyBorder="1" applyFont="1">
      <alignment horizontal="center" shrinkToFit="0" textRotation="90" vertical="center" wrapText="1"/>
    </xf>
    <xf borderId="18" fillId="4" fontId="9" numFmtId="0" xfId="0" applyAlignment="1" applyBorder="1" applyFont="1">
      <alignment horizontal="center" textRotation="90" vertical="center"/>
    </xf>
    <xf borderId="17" fillId="5" fontId="9" numFmtId="0" xfId="0" applyAlignment="1" applyBorder="1" applyFont="1">
      <alignment horizontal="center" textRotation="90" vertical="center"/>
    </xf>
    <xf borderId="9" fillId="5" fontId="9" numFmtId="0" xfId="0" applyAlignment="1" applyBorder="1" applyFont="1">
      <alignment horizontal="center" textRotation="90" vertical="center"/>
    </xf>
    <xf borderId="18" fillId="5" fontId="9" numFmtId="0" xfId="0" applyAlignment="1" applyBorder="1" applyFont="1">
      <alignment horizontal="center" textRotation="90" vertical="center"/>
    </xf>
    <xf borderId="17" fillId="6" fontId="9" numFmtId="0" xfId="0" applyAlignment="1" applyBorder="1" applyFont="1">
      <alignment horizontal="center" textRotation="90" vertical="center"/>
    </xf>
    <xf borderId="9" fillId="6" fontId="9" numFmtId="0" xfId="0" applyAlignment="1" applyBorder="1" applyFont="1">
      <alignment horizontal="center" shrinkToFit="0" textRotation="90" vertical="center" wrapText="1"/>
    </xf>
    <xf borderId="18" fillId="6" fontId="9" numFmtId="0" xfId="0" applyAlignment="1" applyBorder="1" applyFont="1">
      <alignment horizontal="center" textRotation="90" vertical="center"/>
    </xf>
    <xf borderId="17" fillId="7" fontId="9" numFmtId="0" xfId="0" applyAlignment="1" applyBorder="1" applyFont="1">
      <alignment horizontal="center" textRotation="90" vertical="center"/>
    </xf>
    <xf borderId="9" fillId="7" fontId="9" numFmtId="0" xfId="0" applyAlignment="1" applyBorder="1" applyFont="1">
      <alignment horizontal="center" textRotation="90" vertical="center"/>
    </xf>
    <xf borderId="9" fillId="7" fontId="9" numFmtId="0" xfId="0" applyAlignment="1" applyBorder="1" applyFont="1">
      <alignment horizontal="center" shrinkToFit="0" textRotation="90" vertical="center" wrapText="1"/>
    </xf>
    <xf borderId="18" fillId="7" fontId="9" numFmtId="0" xfId="0" applyAlignment="1" applyBorder="1" applyFont="1">
      <alignment horizontal="center" textRotation="90" vertical="center"/>
    </xf>
    <xf borderId="17" fillId="8" fontId="9" numFmtId="0" xfId="0" applyAlignment="1" applyBorder="1" applyFont="1">
      <alignment horizontal="center" textRotation="90" vertical="center"/>
    </xf>
    <xf borderId="9" fillId="8" fontId="9" numFmtId="0" xfId="0" applyAlignment="1" applyBorder="1" applyFont="1">
      <alignment horizontal="center" shrinkToFit="0" textRotation="90" vertical="center" wrapText="1"/>
    </xf>
    <xf borderId="19" fillId="8" fontId="9" numFmtId="0" xfId="0" applyAlignment="1" applyBorder="1" applyFont="1">
      <alignment horizontal="center" shrinkToFit="0" textRotation="90" vertical="center" wrapText="1"/>
    </xf>
    <xf borderId="20" fillId="8" fontId="9" numFmtId="0" xfId="0" applyAlignment="1" applyBorder="1" applyFont="1">
      <alignment horizontal="center" textRotation="90" vertical="center"/>
    </xf>
    <xf borderId="21" fillId="0" fontId="2" numFmtId="0" xfId="0" applyBorder="1" applyFont="1"/>
    <xf borderId="22" fillId="0" fontId="10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left" shrinkToFit="0" vertical="bottom" wrapText="0"/>
    </xf>
    <xf borderId="24" fillId="0" fontId="4" numFmtId="0" xfId="0" applyBorder="1" applyFont="1"/>
    <xf borderId="23" fillId="0" fontId="4" numFmtId="0" xfId="0" applyAlignment="1" applyBorder="1" applyFont="1">
      <alignment horizontal="center" vertical="center"/>
    </xf>
    <xf borderId="23" fillId="0" fontId="4" numFmtId="1" xfId="0" applyAlignment="1" applyBorder="1" applyFont="1" applyNumberFormat="1">
      <alignment horizontal="center" vertical="center"/>
    </xf>
    <xf borderId="23" fillId="0" fontId="4" numFmtId="1" xfId="0" applyAlignment="1" applyBorder="1" applyFont="1" applyNumberFormat="1">
      <alignment horizontal="center"/>
    </xf>
    <xf borderId="23" fillId="0" fontId="4" numFmtId="0" xfId="0" applyAlignment="1" applyBorder="1" applyFont="1">
      <alignment horizontal="center"/>
    </xf>
    <xf borderId="23" fillId="2" fontId="4" numFmtId="1" xfId="0" applyAlignment="1" applyBorder="1" applyFont="1" applyNumberFormat="1">
      <alignment horizontal="center" vertical="center"/>
    </xf>
    <xf borderId="23" fillId="3" fontId="4" numFmtId="1" xfId="0" applyAlignment="1" applyBorder="1" applyFont="1" applyNumberFormat="1">
      <alignment horizontal="center" vertical="center"/>
    </xf>
    <xf borderId="23" fillId="4" fontId="4" numFmtId="1" xfId="0" applyAlignment="1" applyBorder="1" applyFont="1" applyNumberFormat="1">
      <alignment horizontal="center" vertical="center"/>
    </xf>
    <xf borderId="23" fillId="5" fontId="4" numFmtId="1" xfId="0" applyAlignment="1" applyBorder="1" applyFont="1" applyNumberFormat="1">
      <alignment horizontal="center" vertical="center"/>
    </xf>
    <xf borderId="23" fillId="6" fontId="4" numFmtId="1" xfId="0" applyAlignment="1" applyBorder="1" applyFont="1" applyNumberFormat="1">
      <alignment horizontal="center" vertical="center"/>
    </xf>
    <xf borderId="23" fillId="7" fontId="4" numFmtId="1" xfId="0" applyAlignment="1" applyBorder="1" applyFont="1" applyNumberFormat="1">
      <alignment horizontal="center" vertical="center"/>
    </xf>
    <xf borderId="24" fillId="8" fontId="4" numFmtId="1" xfId="0" applyAlignment="1" applyBorder="1" applyFont="1" applyNumberFormat="1">
      <alignment horizontal="center" vertical="center"/>
    </xf>
    <xf borderId="25" fillId="9" fontId="4" numFmtId="1" xfId="0" applyAlignment="1" applyBorder="1" applyFont="1" applyNumberFormat="1">
      <alignment horizontal="center" vertical="center"/>
    </xf>
    <xf borderId="26" fillId="0" fontId="10" numFmtId="0" xfId="0" applyAlignment="1" applyBorder="1" applyFont="1">
      <alignment horizontal="center" vertical="center"/>
    </xf>
    <xf borderId="23" fillId="0" fontId="4" numFmtId="0" xfId="0" applyBorder="1" applyFont="1"/>
    <xf borderId="15" fillId="0" fontId="4" numFmtId="1" xfId="0" applyAlignment="1" applyBorder="1" applyFont="1" applyNumberFormat="1">
      <alignment horizontal="center"/>
    </xf>
    <xf borderId="15" fillId="0" fontId="4" numFmtId="0" xfId="0" applyAlignment="1" applyBorder="1" applyFont="1">
      <alignment horizontal="center"/>
    </xf>
    <xf borderId="23" fillId="8" fontId="4" numFmtId="1" xfId="0" applyAlignment="1" applyBorder="1" applyFont="1" applyNumberFormat="1">
      <alignment horizontal="center" vertical="center"/>
    </xf>
    <xf borderId="27" fillId="9" fontId="4" numFmtId="1" xfId="0" applyAlignment="1" applyBorder="1" applyFont="1" applyNumberFormat="1">
      <alignment horizontal="center" vertical="center"/>
    </xf>
    <xf borderId="15" fillId="0" fontId="4" numFmtId="1" xfId="0" applyBorder="1" applyFont="1" applyNumberFormat="1"/>
    <xf borderId="15" fillId="0" fontId="4" numFmtId="0" xfId="0" applyBorder="1" applyFont="1"/>
    <xf borderId="15" fillId="0" fontId="4" numFmtId="1" xfId="0" applyAlignment="1" applyBorder="1" applyFont="1" applyNumberFormat="1">
      <alignment horizontal="center" vertical="bottom"/>
    </xf>
    <xf borderId="15" fillId="0" fontId="4" numFmtId="0" xfId="0" applyAlignment="1" applyBorder="1" applyFont="1">
      <alignment horizontal="center" vertical="bottom"/>
    </xf>
    <xf borderId="28" fillId="0" fontId="10" numFmtId="0" xfId="0" applyAlignment="1" applyBorder="1" applyFont="1">
      <alignment horizontal="center" vertical="center"/>
    </xf>
    <xf borderId="23" fillId="9" fontId="4" numFmtId="1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/>
    </xf>
    <xf borderId="23" fillId="0" fontId="5" numFmtId="0" xfId="0" applyBorder="1" applyFont="1"/>
    <xf borderId="23" fillId="0" fontId="5" numFmtId="0" xfId="0" applyAlignment="1" applyBorder="1" applyFont="1">
      <alignment horizontal="center"/>
    </xf>
    <xf borderId="23" fillId="4" fontId="5" numFmtId="0" xfId="0" applyAlignment="1" applyBorder="1" applyFont="1">
      <alignment horizontal="center"/>
    </xf>
    <xf borderId="23" fillId="9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vertical="bottom"/>
    </xf>
    <xf borderId="29" fillId="0" fontId="8" numFmtId="0" xfId="0" applyAlignment="1" applyBorder="1" applyFont="1">
      <alignment horizontal="center" vertical="center"/>
    </xf>
    <xf borderId="29" fillId="0" fontId="8" numFmtId="0" xfId="0" applyAlignment="1" applyBorder="1" applyFont="1">
      <alignment horizontal="center" textRotation="90" vertical="center"/>
    </xf>
    <xf borderId="30" fillId="2" fontId="9" numFmtId="0" xfId="0" applyAlignment="1" applyBorder="1" applyFont="1">
      <alignment horizontal="center" vertical="center"/>
    </xf>
    <xf borderId="31" fillId="0" fontId="2" numFmtId="0" xfId="0" applyBorder="1" applyFont="1"/>
    <xf borderId="32" fillId="0" fontId="2" numFmtId="0" xfId="0" applyBorder="1" applyFont="1"/>
    <xf borderId="30" fillId="3" fontId="9" numFmtId="0" xfId="0" applyAlignment="1" applyBorder="1" applyFont="1">
      <alignment horizontal="center" vertical="center"/>
    </xf>
    <xf borderId="30" fillId="4" fontId="9" numFmtId="0" xfId="0" applyAlignment="1" applyBorder="1" applyFont="1">
      <alignment horizontal="center" vertical="center"/>
    </xf>
    <xf borderId="30" fillId="5" fontId="9" numFmtId="0" xfId="0" applyAlignment="1" applyBorder="1" applyFont="1">
      <alignment horizontal="center" vertical="center"/>
    </xf>
    <xf borderId="30" fillId="6" fontId="9" numFmtId="0" xfId="0" applyAlignment="1" applyBorder="1" applyFont="1">
      <alignment horizontal="center" vertical="center"/>
    </xf>
    <xf borderId="30" fillId="7" fontId="9" numFmtId="0" xfId="0" applyAlignment="1" applyBorder="1" applyFont="1">
      <alignment horizontal="center" vertical="center"/>
    </xf>
    <xf borderId="30" fillId="8" fontId="9" numFmtId="0" xfId="0" applyAlignment="1" applyBorder="1" applyFont="1">
      <alignment horizontal="center"/>
    </xf>
    <xf borderId="29" fillId="9" fontId="9" numFmtId="0" xfId="0" applyAlignment="1" applyBorder="1" applyFont="1">
      <alignment horizontal="center" textRotation="90" vertical="center"/>
    </xf>
    <xf borderId="33" fillId="0" fontId="2" numFmtId="0" xfId="0" applyBorder="1" applyFont="1"/>
    <xf borderId="34" fillId="2" fontId="9" numFmtId="0" xfId="0" applyAlignment="1" applyBorder="1" applyFont="1">
      <alignment horizontal="center" textRotation="90" vertical="center"/>
    </xf>
    <xf borderId="34" fillId="3" fontId="9" numFmtId="0" xfId="0" applyAlignment="1" applyBorder="1" applyFont="1">
      <alignment horizontal="center" textRotation="90" vertical="center"/>
    </xf>
    <xf borderId="34" fillId="4" fontId="9" numFmtId="0" xfId="0" applyAlignment="1" applyBorder="1" applyFont="1">
      <alignment horizontal="center" textRotation="90" vertical="center"/>
    </xf>
    <xf borderId="34" fillId="4" fontId="9" numFmtId="0" xfId="0" applyAlignment="1" applyBorder="1" applyFont="1">
      <alignment horizontal="center" shrinkToFit="0" textRotation="90" vertical="center" wrapText="1"/>
    </xf>
    <xf borderId="34" fillId="5" fontId="9" numFmtId="0" xfId="0" applyAlignment="1" applyBorder="1" applyFont="1">
      <alignment horizontal="center" textRotation="90" vertical="center"/>
    </xf>
    <xf borderId="34" fillId="6" fontId="9" numFmtId="0" xfId="0" applyAlignment="1" applyBorder="1" applyFont="1">
      <alignment horizontal="center" shrinkToFit="0" textRotation="90" vertical="center" wrapText="1"/>
    </xf>
    <xf borderId="34" fillId="6" fontId="9" numFmtId="0" xfId="0" applyAlignment="1" applyBorder="1" applyFont="1">
      <alignment horizontal="center" textRotation="90" vertical="center"/>
    </xf>
    <xf borderId="34" fillId="7" fontId="9" numFmtId="0" xfId="0" applyAlignment="1" applyBorder="1" applyFont="1">
      <alignment horizontal="center" shrinkToFit="0" textRotation="90" vertical="center" wrapText="1"/>
    </xf>
    <xf borderId="34" fillId="7" fontId="9" numFmtId="0" xfId="0" applyAlignment="1" applyBorder="1" applyFont="1">
      <alignment horizontal="center" textRotation="90" vertical="center"/>
    </xf>
    <xf borderId="34" fillId="8" fontId="9" numFmtId="0" xfId="0" applyAlignment="1" applyBorder="1" applyFont="1">
      <alignment horizontal="center" shrinkToFit="0" textRotation="90" vertical="center" wrapText="1"/>
    </xf>
    <xf borderId="34" fillId="8" fontId="9" numFmtId="0" xfId="0" applyAlignment="1" applyBorder="1" applyFont="1">
      <alignment horizontal="center" textRotation="90" vertical="center"/>
    </xf>
    <xf borderId="35" fillId="0" fontId="10" numFmtId="0" xfId="0" applyAlignment="1" applyBorder="1" applyFont="1">
      <alignment horizontal="center" vertical="center"/>
    </xf>
    <xf borderId="15" fillId="0" fontId="11" numFmtId="0" xfId="0" applyAlignment="1" applyBorder="1" applyFont="1">
      <alignment horizontal="left" shrinkToFit="0" vertical="bottom" wrapText="0"/>
    </xf>
    <xf borderId="15" fillId="0" fontId="4" numFmtId="0" xfId="0" applyAlignment="1" applyBorder="1" applyFont="1">
      <alignment horizontal="center" vertical="center"/>
    </xf>
    <xf borderId="15" fillId="2" fontId="4" numFmtId="1" xfId="0" applyAlignment="1" applyBorder="1" applyFont="1" applyNumberFormat="1">
      <alignment horizontal="center" vertical="center"/>
    </xf>
    <xf borderId="15" fillId="0" fontId="4" numFmtId="1" xfId="0" applyAlignment="1" applyBorder="1" applyFont="1" applyNumberFormat="1">
      <alignment horizontal="center" vertical="center"/>
    </xf>
    <xf borderId="15" fillId="3" fontId="4" numFmtId="1" xfId="0" applyAlignment="1" applyBorder="1" applyFont="1" applyNumberFormat="1">
      <alignment horizontal="center" vertical="center"/>
    </xf>
    <xf borderId="15" fillId="4" fontId="4" numFmtId="1" xfId="0" applyAlignment="1" applyBorder="1" applyFont="1" applyNumberFormat="1">
      <alignment horizontal="center" vertical="center"/>
    </xf>
    <xf borderId="15" fillId="5" fontId="4" numFmtId="1" xfId="0" applyAlignment="1" applyBorder="1" applyFont="1" applyNumberFormat="1">
      <alignment horizontal="center" vertical="center"/>
    </xf>
    <xf borderId="15" fillId="6" fontId="4" numFmtId="1" xfId="0" applyAlignment="1" applyBorder="1" applyFont="1" applyNumberFormat="1">
      <alignment horizontal="center" vertical="center"/>
    </xf>
    <xf borderId="15" fillId="7" fontId="4" numFmtId="1" xfId="0" applyAlignment="1" applyBorder="1" applyFont="1" applyNumberFormat="1">
      <alignment horizontal="center" vertical="center"/>
    </xf>
    <xf borderId="15" fillId="8" fontId="4" numFmtId="1" xfId="0" applyAlignment="1" applyBorder="1" applyFont="1" applyNumberFormat="1">
      <alignment horizontal="center" vertical="center"/>
    </xf>
    <xf borderId="36" fillId="9" fontId="4" numFmtId="1" xfId="0" applyAlignment="1" applyBorder="1" applyFont="1" applyNumberFormat="1">
      <alignment horizontal="center" vertical="center"/>
    </xf>
    <xf borderId="15" fillId="0" fontId="5" numFmtId="0" xfId="0" applyBorder="1" applyFont="1"/>
    <xf borderId="23" fillId="0" fontId="11" numFmtId="0" xfId="0" applyAlignment="1" applyBorder="1" applyFont="1">
      <alignment horizontal="left" shrinkToFit="0" vertical="bottom" wrapText="0"/>
    </xf>
    <xf borderId="23" fillId="10" fontId="4" numFmtId="0" xfId="0" applyBorder="1" applyFill="1" applyFont="1"/>
    <xf borderId="17" fillId="0" fontId="10" numFmtId="0" xfId="0" applyAlignment="1" applyBorder="1" applyFont="1">
      <alignment horizontal="center" vertical="center"/>
    </xf>
    <xf borderId="9" fillId="0" fontId="4" numFmtId="0" xfId="0" applyBorder="1" applyFont="1"/>
    <xf borderId="9" fillId="2" fontId="4" numFmtId="1" xfId="0" applyAlignment="1" applyBorder="1" applyFont="1" applyNumberFormat="1">
      <alignment horizontal="center" vertical="center"/>
    </xf>
    <xf borderId="9" fillId="3" fontId="4" numFmtId="1" xfId="0" applyAlignment="1" applyBorder="1" applyFont="1" applyNumberFormat="1">
      <alignment horizontal="center" vertical="center"/>
    </xf>
    <xf borderId="9" fillId="4" fontId="4" numFmtId="1" xfId="0" applyAlignment="1" applyBorder="1" applyFont="1" applyNumberFormat="1">
      <alignment horizontal="center" vertical="center"/>
    </xf>
    <xf borderId="9" fillId="5" fontId="4" numFmtId="1" xfId="0" applyAlignment="1" applyBorder="1" applyFont="1" applyNumberFormat="1">
      <alignment horizontal="center" vertical="center"/>
    </xf>
    <xf borderId="9" fillId="6" fontId="4" numFmtId="1" xfId="0" applyAlignment="1" applyBorder="1" applyFont="1" applyNumberFormat="1">
      <alignment horizontal="center" vertical="center"/>
    </xf>
    <xf borderId="9" fillId="7" fontId="4" numFmtId="1" xfId="0" applyAlignment="1" applyBorder="1" applyFont="1" applyNumberFormat="1">
      <alignment horizontal="center" vertical="center"/>
    </xf>
    <xf borderId="9" fillId="8" fontId="4" numFmtId="1" xfId="0" applyAlignment="1" applyBorder="1" applyFont="1" applyNumberFormat="1">
      <alignment horizontal="center" vertical="center"/>
    </xf>
    <xf borderId="18" fillId="9" fontId="4" numFmtId="1" xfId="0" applyAlignment="1" applyBorder="1" applyFont="1" applyNumberFormat="1">
      <alignment horizontal="center" vertical="center"/>
    </xf>
    <xf borderId="23" fillId="0" fontId="10" numFmtId="0" xfId="0" applyAlignment="1" applyBorder="1" applyFont="1">
      <alignment horizontal="center" vertical="center"/>
    </xf>
    <xf borderId="37" fillId="2" fontId="9" numFmtId="0" xfId="0" applyAlignment="1" applyBorder="1" applyFont="1">
      <alignment horizontal="center" textRotation="90" vertical="center"/>
    </xf>
    <xf borderId="19" fillId="2" fontId="9" numFmtId="0" xfId="0" applyAlignment="1" applyBorder="1" applyFont="1">
      <alignment horizontal="center" textRotation="90" vertical="center"/>
    </xf>
    <xf borderId="20" fillId="2" fontId="9" numFmtId="0" xfId="0" applyAlignment="1" applyBorder="1" applyFont="1">
      <alignment horizontal="center" textRotation="90" vertical="center"/>
    </xf>
    <xf borderId="20" fillId="4" fontId="9" numFmtId="0" xfId="0" applyAlignment="1" applyBorder="1" applyFont="1">
      <alignment horizontal="center" textRotation="90" vertical="center"/>
    </xf>
    <xf borderId="20" fillId="5" fontId="9" numFmtId="0" xfId="0" applyAlignment="1" applyBorder="1" applyFont="1">
      <alignment horizontal="center" textRotation="90" vertical="center"/>
    </xf>
    <xf borderId="17" fillId="6" fontId="9" numFmtId="0" xfId="0" applyAlignment="1" applyBorder="1" applyFont="1">
      <alignment horizontal="center" shrinkToFit="0" textRotation="90" vertical="center" wrapText="1"/>
    </xf>
    <xf borderId="20" fillId="6" fontId="9" numFmtId="0" xfId="0" applyAlignment="1" applyBorder="1" applyFont="1">
      <alignment horizontal="center" textRotation="90" vertical="center"/>
    </xf>
    <xf borderId="17" fillId="7" fontId="9" numFmtId="0" xfId="0" applyAlignment="1" applyBorder="1" applyFont="1">
      <alignment horizontal="center" shrinkToFit="0" textRotation="90" vertical="center" wrapText="1"/>
    </xf>
    <xf borderId="20" fillId="7" fontId="9" numFmtId="0" xfId="0" applyAlignment="1" applyBorder="1" applyFont="1">
      <alignment horizontal="center" textRotation="90" vertical="center"/>
    </xf>
    <xf borderId="17" fillId="8" fontId="9" numFmtId="0" xfId="0" applyAlignment="1" applyBorder="1" applyFont="1">
      <alignment horizontal="center" shrinkToFit="0" textRotation="90" vertical="center" wrapText="1"/>
    </xf>
    <xf borderId="23" fillId="0" fontId="12" numFmtId="0" xfId="0" applyAlignment="1" applyBorder="1" applyFont="1">
      <alignment horizontal="center"/>
    </xf>
    <xf borderId="23" fillId="0" fontId="9" numFmtId="0" xfId="0" applyBorder="1" applyFont="1"/>
    <xf borderId="24" fillId="0" fontId="4" numFmtId="0" xfId="0" applyAlignment="1" applyBorder="1" applyFont="1">
      <alignment horizontal="center" vertical="center"/>
    </xf>
    <xf borderId="24" fillId="0" fontId="4" numFmtId="1" xfId="0" applyAlignment="1" applyBorder="1" applyFont="1" applyNumberFormat="1">
      <alignment horizontal="center" vertical="center"/>
    </xf>
    <xf borderId="24" fillId="2" fontId="4" numFmtId="1" xfId="0" applyAlignment="1" applyBorder="1" applyFont="1" applyNumberFormat="1">
      <alignment horizontal="center" vertical="center"/>
    </xf>
    <xf borderId="24" fillId="4" fontId="4" numFmtId="1" xfId="0" applyAlignment="1" applyBorder="1" applyFont="1" applyNumberFormat="1">
      <alignment horizontal="center" vertical="center"/>
    </xf>
    <xf borderId="24" fillId="5" fontId="4" numFmtId="1" xfId="0" applyAlignment="1" applyBorder="1" applyFont="1" applyNumberFormat="1">
      <alignment horizontal="center" vertical="center"/>
    </xf>
    <xf borderId="24" fillId="6" fontId="4" numFmtId="1" xfId="0" applyAlignment="1" applyBorder="1" applyFont="1" applyNumberFormat="1">
      <alignment horizontal="center" vertical="center"/>
    </xf>
    <xf borderId="24" fillId="7" fontId="4" numFmtId="1" xfId="0" applyAlignment="1" applyBorder="1" applyFont="1" applyNumberFormat="1">
      <alignment horizontal="center" vertical="center"/>
    </xf>
    <xf borderId="23" fillId="0" fontId="4" numFmtId="1" xfId="0" applyAlignment="1" applyBorder="1" applyFont="1" applyNumberFormat="1">
      <alignment horizontal="center" readingOrder="0" vertical="center"/>
    </xf>
    <xf borderId="38" fillId="0" fontId="4" numFmtId="0" xfId="0" applyBorder="1" applyFont="1"/>
    <xf borderId="38" fillId="0" fontId="4" numFmtId="1" xfId="0" applyAlignment="1" applyBorder="1" applyFont="1" applyNumberFormat="1">
      <alignment horizontal="center" vertical="center"/>
    </xf>
    <xf borderId="38" fillId="2" fontId="4" numFmtId="1" xfId="0" applyAlignment="1" applyBorder="1" applyFont="1" applyNumberFormat="1">
      <alignment horizontal="center" vertical="center"/>
    </xf>
    <xf borderId="38" fillId="4" fontId="4" numFmtId="1" xfId="0" applyAlignment="1" applyBorder="1" applyFont="1" applyNumberFormat="1">
      <alignment horizontal="center" vertical="center"/>
    </xf>
    <xf borderId="38" fillId="5" fontId="4" numFmtId="1" xfId="0" applyAlignment="1" applyBorder="1" applyFont="1" applyNumberFormat="1">
      <alignment horizontal="center" vertical="center"/>
    </xf>
    <xf borderId="38" fillId="6" fontId="4" numFmtId="1" xfId="0" applyAlignment="1" applyBorder="1" applyFont="1" applyNumberFormat="1">
      <alignment horizontal="center" vertical="center"/>
    </xf>
    <xf borderId="38" fillId="7" fontId="4" numFmtId="1" xfId="0" applyAlignment="1" applyBorder="1" applyFont="1" applyNumberFormat="1">
      <alignment horizontal="center" vertical="center"/>
    </xf>
    <xf borderId="38" fillId="8" fontId="4" numFmtId="1" xfId="0" applyAlignment="1" applyBorder="1" applyFont="1" applyNumberFormat="1">
      <alignment horizontal="center" vertical="center"/>
    </xf>
    <xf borderId="39" fillId="9" fontId="4" numFmtId="1" xfId="0" applyAlignment="1" applyBorder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13" numFmtId="0" xfId="0" applyBorder="1" applyFont="1"/>
    <xf borderId="14" fillId="0" fontId="8" numFmtId="0" xfId="0" applyAlignment="1" applyBorder="1" applyFont="1">
      <alignment horizontal="center" vertical="center"/>
    </xf>
    <xf borderId="40" fillId="0" fontId="8" numFmtId="0" xfId="0" applyAlignment="1" applyBorder="1" applyFont="1">
      <alignment horizontal="center" vertical="center"/>
    </xf>
    <xf borderId="41" fillId="0" fontId="8" numFmtId="0" xfId="0" applyAlignment="1" applyBorder="1" applyFont="1">
      <alignment horizontal="center" textRotation="90" vertical="center"/>
    </xf>
    <xf borderId="11" fillId="11" fontId="9" numFmtId="0" xfId="0" applyAlignment="1" applyBorder="1" applyFill="1" applyFont="1">
      <alignment horizontal="center" vertical="center"/>
    </xf>
    <xf borderId="11" fillId="12" fontId="9" numFmtId="0" xfId="0" applyAlignment="1" applyBorder="1" applyFill="1" applyFont="1">
      <alignment horizontal="center" vertical="center"/>
    </xf>
    <xf borderId="11" fillId="13" fontId="9" numFmtId="0" xfId="0" applyAlignment="1" applyBorder="1" applyFill="1" applyFont="1">
      <alignment horizontal="center" vertical="center"/>
    </xf>
    <xf borderId="42" fillId="8" fontId="9" numFmtId="0" xfId="0" applyAlignment="1" applyBorder="1" applyFont="1">
      <alignment horizontal="center" vertical="center"/>
    </xf>
    <xf borderId="43" fillId="0" fontId="2" numFmtId="0" xfId="0" applyBorder="1" applyFont="1"/>
    <xf borderId="44" fillId="0" fontId="2" numFmtId="0" xfId="0" applyBorder="1" applyFont="1"/>
    <xf borderId="42" fillId="14" fontId="9" numFmtId="0" xfId="0" applyAlignment="1" applyBorder="1" applyFill="1" applyFont="1">
      <alignment horizontal="center" vertical="center"/>
    </xf>
    <xf borderId="11" fillId="3" fontId="9" numFmtId="0" xfId="0" applyAlignment="1" applyBorder="1" applyFont="1">
      <alignment horizontal="center" textRotation="1" vertical="center"/>
    </xf>
    <xf borderId="45" fillId="15" fontId="9" numFmtId="0" xfId="0" applyAlignment="1" applyBorder="1" applyFill="1" applyFont="1">
      <alignment horizontal="center" textRotation="90" vertical="center"/>
    </xf>
    <xf borderId="4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17" fillId="11" fontId="9" numFmtId="0" xfId="0" applyAlignment="1" applyBorder="1" applyFont="1">
      <alignment horizontal="center" textRotation="90" vertical="center"/>
    </xf>
    <xf borderId="9" fillId="11" fontId="9" numFmtId="0" xfId="0" applyAlignment="1" applyBorder="1" applyFont="1">
      <alignment horizontal="center" textRotation="90" vertical="center"/>
    </xf>
    <xf borderId="49" fillId="11" fontId="9" numFmtId="0" xfId="0" applyAlignment="1" applyBorder="1" applyFont="1">
      <alignment horizontal="center" textRotation="90" vertical="center"/>
    </xf>
    <xf borderId="17" fillId="12" fontId="9" numFmtId="0" xfId="0" applyAlignment="1" applyBorder="1" applyFont="1">
      <alignment horizontal="center" textRotation="90" vertical="center"/>
    </xf>
    <xf borderId="9" fillId="12" fontId="9" numFmtId="0" xfId="0" applyAlignment="1" applyBorder="1" applyFont="1">
      <alignment horizontal="center" textRotation="90" vertical="center"/>
    </xf>
    <xf borderId="49" fillId="12" fontId="9" numFmtId="0" xfId="0" applyAlignment="1" applyBorder="1" applyFont="1">
      <alignment horizontal="center" textRotation="90" vertical="center"/>
    </xf>
    <xf borderId="49" fillId="7" fontId="9" numFmtId="0" xfId="0" applyAlignment="1" applyBorder="1" applyFont="1">
      <alignment horizontal="center" textRotation="90" vertical="center"/>
    </xf>
    <xf borderId="17" fillId="13" fontId="9" numFmtId="0" xfId="0" applyAlignment="1" applyBorder="1" applyFont="1">
      <alignment horizontal="center" textRotation="90" vertical="center"/>
    </xf>
    <xf borderId="9" fillId="13" fontId="9" numFmtId="0" xfId="0" applyAlignment="1" applyBorder="1" applyFont="1">
      <alignment horizontal="center" textRotation="90" vertical="center"/>
    </xf>
    <xf borderId="49" fillId="13" fontId="9" numFmtId="0" xfId="0" applyAlignment="1" applyBorder="1" applyFont="1">
      <alignment horizontal="center" textRotation="90" vertical="center"/>
    </xf>
    <xf borderId="50" fillId="8" fontId="9" numFmtId="0" xfId="0" applyAlignment="1" applyBorder="1" applyFont="1">
      <alignment horizontal="center" textRotation="90" vertical="center"/>
    </xf>
    <xf borderId="51" fillId="8" fontId="9" numFmtId="0" xfId="0" applyAlignment="1" applyBorder="1" applyFont="1">
      <alignment horizontal="center" textRotation="90" vertical="center"/>
    </xf>
    <xf borderId="52" fillId="8" fontId="9" numFmtId="0" xfId="0" applyAlignment="1" applyBorder="1" applyFont="1">
      <alignment horizontal="center" textRotation="90" vertical="center"/>
    </xf>
    <xf borderId="50" fillId="14" fontId="9" numFmtId="0" xfId="0" applyAlignment="1" applyBorder="1" applyFont="1">
      <alignment horizontal="center" textRotation="90" vertical="center"/>
    </xf>
    <xf borderId="51" fillId="14" fontId="9" numFmtId="0" xfId="0" applyAlignment="1" applyBorder="1" applyFont="1">
      <alignment horizontal="center" textRotation="90" vertical="center"/>
    </xf>
    <xf borderId="52" fillId="14" fontId="9" numFmtId="0" xfId="0" applyAlignment="1" applyBorder="1" applyFont="1">
      <alignment horizontal="center" textRotation="90" vertical="center"/>
    </xf>
    <xf borderId="53" fillId="0" fontId="2" numFmtId="0" xfId="0" applyBorder="1" applyFont="1"/>
    <xf borderId="54" fillId="0" fontId="4" numFmtId="0" xfId="0" applyAlignment="1" applyBorder="1" applyFont="1">
      <alignment horizontal="center"/>
    </xf>
    <xf borderId="23" fillId="11" fontId="4" numFmtId="1" xfId="0" applyAlignment="1" applyBorder="1" applyFont="1" applyNumberFormat="1">
      <alignment horizontal="center" vertical="center"/>
    </xf>
    <xf borderId="23" fillId="12" fontId="4" numFmtId="1" xfId="0" applyAlignment="1" applyBorder="1" applyFont="1" applyNumberFormat="1">
      <alignment horizontal="center" vertical="center"/>
    </xf>
    <xf borderId="23" fillId="13" fontId="4" numFmtId="1" xfId="0" applyAlignment="1" applyBorder="1" applyFont="1" applyNumberFormat="1">
      <alignment horizontal="center" vertical="center"/>
    </xf>
    <xf borderId="23" fillId="16" fontId="4" numFmtId="1" xfId="0" applyAlignment="1" applyBorder="1" applyFill="1" applyFont="1" applyNumberFormat="1">
      <alignment horizontal="center" vertical="center"/>
    </xf>
    <xf borderId="23" fillId="10" fontId="4" numFmtId="0" xfId="0" applyAlignment="1" applyBorder="1" applyFont="1">
      <alignment horizontal="center" vertical="center"/>
    </xf>
    <xf borderId="23" fillId="15" fontId="4" numFmtId="1" xfId="0" applyAlignment="1" applyBorder="1" applyFont="1" applyNumberFormat="1">
      <alignment horizontal="center" vertical="center"/>
    </xf>
    <xf borderId="55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28" fillId="2" fontId="9" numFmtId="0" xfId="0" applyAlignment="1" applyBorder="1" applyFont="1">
      <alignment horizontal="center" textRotation="90" vertical="center"/>
    </xf>
    <xf borderId="38" fillId="2" fontId="9" numFmtId="0" xfId="0" applyAlignment="1" applyBorder="1" applyFont="1">
      <alignment horizontal="center" textRotation="90" vertical="center"/>
    </xf>
    <xf borderId="39" fillId="2" fontId="9" numFmtId="0" xfId="0" applyAlignment="1" applyBorder="1" applyFont="1">
      <alignment horizontal="center" textRotation="90" vertical="center"/>
    </xf>
    <xf borderId="28" fillId="11" fontId="9" numFmtId="0" xfId="0" applyAlignment="1" applyBorder="1" applyFont="1">
      <alignment horizontal="center" textRotation="90" vertical="center"/>
    </xf>
    <xf borderId="38" fillId="11" fontId="9" numFmtId="0" xfId="0" applyAlignment="1" applyBorder="1" applyFont="1">
      <alignment horizontal="center" textRotation="90" vertical="center"/>
    </xf>
    <xf borderId="56" fillId="11" fontId="9" numFmtId="0" xfId="0" applyAlignment="1" applyBorder="1" applyFont="1">
      <alignment horizontal="center" textRotation="90" vertical="center"/>
    </xf>
    <xf borderId="28" fillId="12" fontId="9" numFmtId="0" xfId="0" applyAlignment="1" applyBorder="1" applyFont="1">
      <alignment horizontal="center" textRotation="90" vertical="center"/>
    </xf>
    <xf borderId="38" fillId="12" fontId="9" numFmtId="0" xfId="0" applyAlignment="1" applyBorder="1" applyFont="1">
      <alignment horizontal="center" textRotation="90" vertical="center"/>
    </xf>
    <xf borderId="56" fillId="12" fontId="9" numFmtId="0" xfId="0" applyAlignment="1" applyBorder="1" applyFont="1">
      <alignment horizontal="center" textRotation="90" vertical="center"/>
    </xf>
    <xf borderId="28" fillId="7" fontId="9" numFmtId="0" xfId="0" applyAlignment="1" applyBorder="1" applyFont="1">
      <alignment horizontal="center" textRotation="90" vertical="center"/>
    </xf>
    <xf borderId="38" fillId="7" fontId="9" numFmtId="0" xfId="0" applyAlignment="1" applyBorder="1" applyFont="1">
      <alignment horizontal="center" textRotation="90" vertical="center"/>
    </xf>
    <xf borderId="56" fillId="7" fontId="9" numFmtId="0" xfId="0" applyAlignment="1" applyBorder="1" applyFont="1">
      <alignment horizontal="center" textRotation="90" vertical="center"/>
    </xf>
    <xf borderId="28" fillId="13" fontId="9" numFmtId="0" xfId="0" applyAlignment="1" applyBorder="1" applyFont="1">
      <alignment horizontal="center" textRotation="90" vertical="center"/>
    </xf>
    <xf borderId="38" fillId="13" fontId="9" numFmtId="0" xfId="0" applyAlignment="1" applyBorder="1" applyFont="1">
      <alignment horizontal="center" textRotation="90" vertical="center"/>
    </xf>
    <xf borderId="56" fillId="13" fontId="9" numFmtId="0" xfId="0" applyAlignment="1" applyBorder="1" applyFont="1">
      <alignment horizontal="center" textRotation="90" vertical="center"/>
    </xf>
    <xf borderId="57" fillId="8" fontId="9" numFmtId="0" xfId="0" applyAlignment="1" applyBorder="1" applyFont="1">
      <alignment horizontal="center" textRotation="90" vertical="center"/>
    </xf>
    <xf borderId="58" fillId="8" fontId="9" numFmtId="0" xfId="0" applyAlignment="1" applyBorder="1" applyFont="1">
      <alignment horizontal="center" textRotation="90" vertical="center"/>
    </xf>
    <xf borderId="59" fillId="8" fontId="9" numFmtId="0" xfId="0" applyAlignment="1" applyBorder="1" applyFont="1">
      <alignment horizontal="center" textRotation="90" vertical="center"/>
    </xf>
    <xf borderId="57" fillId="14" fontId="9" numFmtId="0" xfId="0" applyAlignment="1" applyBorder="1" applyFont="1">
      <alignment horizontal="center" textRotation="90" vertical="center"/>
    </xf>
    <xf borderId="58" fillId="14" fontId="9" numFmtId="0" xfId="0" applyAlignment="1" applyBorder="1" applyFont="1">
      <alignment horizontal="center" textRotation="90" vertical="center"/>
    </xf>
    <xf borderId="59" fillId="14" fontId="9" numFmtId="0" xfId="0" applyAlignment="1" applyBorder="1" applyFont="1">
      <alignment horizontal="center" textRotation="90" vertical="center"/>
    </xf>
    <xf borderId="28" fillId="3" fontId="9" numFmtId="0" xfId="0" applyAlignment="1" applyBorder="1" applyFont="1">
      <alignment horizontal="center" textRotation="90" vertical="center"/>
    </xf>
    <xf borderId="38" fillId="3" fontId="9" numFmtId="0" xfId="0" applyAlignment="1" applyBorder="1" applyFont="1">
      <alignment horizontal="center" textRotation="90" vertical="center"/>
    </xf>
    <xf borderId="39" fillId="3" fontId="9" numFmtId="0" xfId="0" applyAlignment="1" applyBorder="1" applyFont="1">
      <alignment horizontal="center" textRotation="90" vertical="center"/>
    </xf>
    <xf borderId="23" fillId="0" fontId="14" numFmtId="0" xfId="0" applyAlignment="1" applyBorder="1" applyFont="1">
      <alignment horizontal="left" shrinkToFit="0" vertical="center" wrapText="0"/>
    </xf>
    <xf borderId="24" fillId="11" fontId="4" numFmtId="1" xfId="0" applyAlignment="1" applyBorder="1" applyFont="1" applyNumberFormat="1">
      <alignment horizontal="center" vertical="center"/>
    </xf>
    <xf borderId="24" fillId="12" fontId="4" numFmtId="1" xfId="0" applyAlignment="1" applyBorder="1" applyFont="1" applyNumberFormat="1">
      <alignment horizontal="center" vertical="center"/>
    </xf>
    <xf borderId="24" fillId="13" fontId="4" numFmtId="1" xfId="0" applyAlignment="1" applyBorder="1" applyFont="1" applyNumberFormat="1">
      <alignment horizontal="center" vertical="center"/>
    </xf>
    <xf borderId="24" fillId="10" fontId="4" numFmtId="1" xfId="0" applyAlignment="1" applyBorder="1" applyFont="1" applyNumberFormat="1">
      <alignment horizontal="center" vertical="center"/>
    </xf>
    <xf borderId="24" fillId="16" fontId="4" numFmtId="1" xfId="0" applyAlignment="1" applyBorder="1" applyFont="1" applyNumberFormat="1">
      <alignment horizontal="center" vertical="center"/>
    </xf>
    <xf borderId="24" fillId="10" fontId="4" numFmtId="0" xfId="0" applyAlignment="1" applyBorder="1" applyFont="1">
      <alignment horizontal="center" vertical="center"/>
    </xf>
    <xf borderId="24" fillId="3" fontId="4" numFmtId="1" xfId="0" applyAlignment="1" applyBorder="1" applyFont="1" applyNumberFormat="1">
      <alignment horizontal="center" vertical="center"/>
    </xf>
    <xf borderId="25" fillId="15" fontId="4" numFmtId="1" xfId="0" applyAlignment="1" applyBorder="1" applyFont="1" applyNumberFormat="1">
      <alignment horizontal="center" vertical="center"/>
    </xf>
    <xf borderId="23" fillId="10" fontId="4" numFmtId="1" xfId="0" applyAlignment="1" applyBorder="1" applyFont="1" applyNumberFormat="1">
      <alignment horizontal="center" vertical="center"/>
    </xf>
    <xf borderId="27" fillId="15" fontId="4" numFmtId="1" xfId="0" applyAlignment="1" applyBorder="1" applyFont="1" applyNumberFormat="1">
      <alignment horizontal="center" vertical="center"/>
    </xf>
    <xf borderId="23" fillId="10" fontId="12" numFmtId="0" xfId="0" applyAlignment="1" applyBorder="1" applyFont="1">
      <alignment vertical="center"/>
    </xf>
    <xf borderId="9" fillId="0" fontId="4" numFmtId="0" xfId="0" applyAlignment="1" applyBorder="1" applyFont="1">
      <alignment horizontal="center"/>
    </xf>
    <xf borderId="9" fillId="11" fontId="4" numFmtId="1" xfId="0" applyAlignment="1" applyBorder="1" applyFont="1" applyNumberFormat="1">
      <alignment horizontal="center" vertical="center"/>
    </xf>
    <xf borderId="9" fillId="12" fontId="4" numFmtId="1" xfId="0" applyAlignment="1" applyBorder="1" applyFont="1" applyNumberFormat="1">
      <alignment horizontal="center" vertical="center"/>
    </xf>
    <xf borderId="9" fillId="13" fontId="4" numFmtId="1" xfId="0" applyAlignment="1" applyBorder="1" applyFont="1" applyNumberFormat="1">
      <alignment horizontal="center" vertical="center"/>
    </xf>
    <xf borderId="9" fillId="16" fontId="4" numFmtId="1" xfId="0" applyAlignment="1" applyBorder="1" applyFont="1" applyNumberFormat="1">
      <alignment horizontal="center" vertical="center"/>
    </xf>
    <xf borderId="18" fillId="15" fontId="4" numFmtId="1" xfId="0" applyAlignment="1" applyBorder="1" applyFont="1" applyNumberFormat="1">
      <alignment horizontal="center" vertical="center"/>
    </xf>
    <xf borderId="0" fillId="0" fontId="5" numFmtId="0" xfId="0" applyFont="1"/>
    <xf borderId="0" fillId="0" fontId="11" numFmtId="0" xfId="0" applyAlignment="1" applyFont="1">
      <alignment horizontal="left" shrinkToFit="0" vertical="bottom" wrapText="0"/>
    </xf>
    <xf borderId="4" fillId="0" fontId="15" numFmtId="0" xfId="0" applyBorder="1" applyFont="1"/>
    <xf borderId="0" fillId="0" fontId="15" numFmtId="0" xfId="0" applyFont="1"/>
    <xf borderId="0" fillId="0" fontId="15" numFmtId="0" xfId="0" applyAlignment="1" applyFont="1">
      <alignment horizontal="center"/>
    </xf>
    <xf borderId="0" fillId="0" fontId="16" numFmtId="0" xfId="0" applyFont="1"/>
    <xf borderId="6" fillId="0" fontId="15" numFmtId="0" xfId="0" applyBorder="1" applyFont="1"/>
    <xf borderId="8" fillId="0" fontId="13" numFmtId="0" xfId="0" applyBorder="1" applyFont="1"/>
    <xf borderId="0" fillId="0" fontId="7" numFmtId="0" xfId="0" applyAlignment="1" applyFont="1">
      <alignment horizontal="center"/>
    </xf>
    <xf borderId="60" fillId="12" fontId="9" numFmtId="0" xfId="0" applyAlignment="1" applyBorder="1" applyFont="1">
      <alignment horizontal="center" vertical="center"/>
    </xf>
    <xf borderId="61" fillId="5" fontId="9" numFmtId="0" xfId="0" applyAlignment="1" applyBorder="1" applyFont="1">
      <alignment horizontal="center" vertical="center"/>
    </xf>
    <xf borderId="61" fillId="17" fontId="9" numFmtId="0" xfId="0" applyAlignment="1" applyBorder="1" applyFill="1" applyFont="1">
      <alignment horizontal="center" vertical="center"/>
    </xf>
    <xf borderId="11" fillId="18" fontId="9" numFmtId="0" xfId="0" applyAlignment="1" applyBorder="1" applyFill="1" applyFont="1">
      <alignment horizontal="center" vertical="center"/>
    </xf>
    <xf borderId="11" fillId="19" fontId="9" numFmtId="0" xfId="0" applyAlignment="1" applyBorder="1" applyFill="1" applyFont="1">
      <alignment horizontal="center" vertical="center"/>
    </xf>
    <xf borderId="11" fillId="16" fontId="9" numFmtId="0" xfId="0" applyAlignment="1" applyBorder="1" applyFont="1">
      <alignment horizontal="center" vertical="center"/>
    </xf>
    <xf borderId="11" fillId="20" fontId="9" numFmtId="0" xfId="0" applyAlignment="1" applyBorder="1" applyFill="1" applyFont="1">
      <alignment horizontal="center" vertical="center"/>
    </xf>
    <xf borderId="45" fillId="10" fontId="9" numFmtId="0" xfId="0" applyAlignment="1" applyBorder="1" applyFont="1">
      <alignment horizontal="center" textRotation="90" vertical="center"/>
    </xf>
    <xf borderId="39" fillId="11" fontId="9" numFmtId="0" xfId="0" applyAlignment="1" applyBorder="1" applyFont="1">
      <alignment horizontal="center" textRotation="90" vertical="center"/>
    </xf>
    <xf borderId="62" fillId="5" fontId="9" numFmtId="0" xfId="0" applyAlignment="1" applyBorder="1" applyFont="1">
      <alignment horizontal="center" textRotation="90" vertical="center"/>
    </xf>
    <xf borderId="62" fillId="17" fontId="9" numFmtId="0" xfId="0" applyAlignment="1" applyBorder="1" applyFont="1">
      <alignment horizontal="center" textRotation="90" vertical="center"/>
    </xf>
    <xf borderId="28" fillId="18" fontId="9" numFmtId="0" xfId="0" applyAlignment="1" applyBorder="1" applyFont="1">
      <alignment horizontal="center" textRotation="90" vertical="center"/>
    </xf>
    <xf borderId="38" fillId="18" fontId="9" numFmtId="0" xfId="0" applyAlignment="1" applyBorder="1" applyFont="1">
      <alignment horizontal="center" textRotation="90" vertical="center"/>
    </xf>
    <xf borderId="39" fillId="18" fontId="9" numFmtId="0" xfId="0" applyAlignment="1" applyBorder="1" applyFont="1">
      <alignment horizontal="center" textRotation="90" vertical="center"/>
    </xf>
    <xf borderId="28" fillId="19" fontId="9" numFmtId="0" xfId="0" applyAlignment="1" applyBorder="1" applyFont="1">
      <alignment horizontal="center" textRotation="90" vertical="center"/>
    </xf>
    <xf borderId="38" fillId="19" fontId="9" numFmtId="0" xfId="0" applyAlignment="1" applyBorder="1" applyFont="1">
      <alignment horizontal="center" textRotation="90" vertical="center"/>
    </xf>
    <xf borderId="39" fillId="19" fontId="9" numFmtId="0" xfId="0" applyAlignment="1" applyBorder="1" applyFont="1">
      <alignment horizontal="center" textRotation="90" vertical="center"/>
    </xf>
    <xf borderId="39" fillId="13" fontId="9" numFmtId="0" xfId="0" applyAlignment="1" applyBorder="1" applyFont="1">
      <alignment horizontal="center" textRotation="90" vertical="center"/>
    </xf>
    <xf borderId="28" fillId="16" fontId="9" numFmtId="0" xfId="0" applyAlignment="1" applyBorder="1" applyFont="1">
      <alignment horizontal="center" textRotation="90" vertical="center"/>
    </xf>
    <xf borderId="38" fillId="16" fontId="9" numFmtId="0" xfId="0" applyAlignment="1" applyBorder="1" applyFont="1">
      <alignment horizontal="center" textRotation="90" vertical="center"/>
    </xf>
    <xf borderId="39" fillId="16" fontId="9" numFmtId="0" xfId="0" applyAlignment="1" applyBorder="1" applyFont="1">
      <alignment horizontal="center" textRotation="90" vertical="center"/>
    </xf>
    <xf borderId="56" fillId="16" fontId="9" numFmtId="0" xfId="0" applyAlignment="1" applyBorder="1" applyFont="1">
      <alignment horizontal="center" textRotation="90" vertical="center"/>
    </xf>
    <xf borderId="28" fillId="20" fontId="9" numFmtId="0" xfId="0" applyAlignment="1" applyBorder="1" applyFont="1">
      <alignment horizontal="center" textRotation="90" vertical="center"/>
    </xf>
    <xf borderId="38" fillId="20" fontId="9" numFmtId="0" xfId="0" applyAlignment="1" applyBorder="1" applyFont="1">
      <alignment horizontal="center" textRotation="90" vertical="center"/>
    </xf>
    <xf borderId="39" fillId="20" fontId="9" numFmtId="0" xfId="0" applyAlignment="1" applyBorder="1" applyFont="1">
      <alignment horizontal="center" textRotation="90" vertical="center"/>
    </xf>
    <xf borderId="15" fillId="0" fontId="10" numFmtId="0" xfId="0" applyAlignment="1" applyBorder="1" applyFont="1">
      <alignment horizontal="center" vertical="center"/>
    </xf>
    <xf borderId="23" fillId="0" fontId="11" numFmtId="0" xfId="0" applyAlignment="1" applyBorder="1" applyFont="1">
      <alignment vertical="bottom"/>
    </xf>
    <xf borderId="24" fillId="0" fontId="4" numFmtId="0" xfId="0" applyAlignment="1" applyBorder="1" applyFont="1">
      <alignment horizontal="center"/>
    </xf>
    <xf borderId="63" fillId="21" fontId="4" numFmtId="1" xfId="0" applyAlignment="1" applyBorder="1" applyFill="1" applyFont="1" applyNumberFormat="1">
      <alignment horizontal="center" vertical="center"/>
    </xf>
    <xf borderId="63" fillId="11" fontId="4" numFmtId="1" xfId="0" applyAlignment="1" applyBorder="1" applyFont="1" applyNumberFormat="1">
      <alignment horizontal="center" vertical="center"/>
    </xf>
    <xf borderId="63" fillId="18" fontId="4" numFmtId="1" xfId="0" applyAlignment="1" applyBorder="1" applyFont="1" applyNumberFormat="1">
      <alignment horizontal="center" vertical="center"/>
    </xf>
    <xf borderId="63" fillId="19" fontId="4" numFmtId="1" xfId="0" applyAlignment="1" applyBorder="1" applyFont="1" applyNumberFormat="1">
      <alignment horizontal="center" vertical="center"/>
    </xf>
    <xf borderId="63" fillId="22" fontId="4" numFmtId="1" xfId="0" applyAlignment="1" applyBorder="1" applyFill="1" applyFont="1" applyNumberFormat="1">
      <alignment horizontal="center" vertical="center"/>
    </xf>
    <xf borderId="63" fillId="16" fontId="4" numFmtId="1" xfId="0" applyAlignment="1" applyBorder="1" applyFont="1" applyNumberFormat="1">
      <alignment horizontal="center" vertical="center"/>
    </xf>
    <xf borderId="63" fillId="10" fontId="4" numFmtId="0" xfId="0" applyAlignment="1" applyBorder="1" applyFont="1">
      <alignment horizontal="center" vertical="center"/>
    </xf>
    <xf borderId="63" fillId="20" fontId="4" numFmtId="1" xfId="0" applyAlignment="1" applyBorder="1" applyFont="1" applyNumberFormat="1">
      <alignment horizontal="center" vertical="center"/>
    </xf>
    <xf borderId="15" fillId="0" fontId="11" numFmtId="0" xfId="0" applyAlignment="1" applyBorder="1" applyFont="1">
      <alignment vertical="bottom"/>
    </xf>
    <xf borderId="23" fillId="21" fontId="4" numFmtId="1" xfId="0" applyAlignment="1" applyBorder="1" applyFont="1" applyNumberFormat="1">
      <alignment horizontal="center" vertical="center"/>
    </xf>
    <xf borderId="23" fillId="18" fontId="4" numFmtId="1" xfId="0" applyAlignment="1" applyBorder="1" applyFont="1" applyNumberFormat="1">
      <alignment horizontal="center" vertical="center"/>
    </xf>
    <xf borderId="23" fillId="19" fontId="4" numFmtId="1" xfId="0" applyAlignment="1" applyBorder="1" applyFont="1" applyNumberFormat="1">
      <alignment horizontal="center" vertical="center"/>
    </xf>
    <xf borderId="23" fillId="22" fontId="4" numFmtId="1" xfId="0" applyAlignment="1" applyBorder="1" applyFont="1" applyNumberFormat="1">
      <alignment horizontal="center" vertical="center"/>
    </xf>
    <xf borderId="23" fillId="20" fontId="4" numFmtId="1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23" fillId="0" fontId="5" numFmtId="0" xfId="0" applyAlignment="1" applyBorder="1" applyFont="1">
      <alignment horizontal="left" shrinkToFit="0" vertical="bottom" wrapText="0"/>
    </xf>
    <xf borderId="23" fillId="0" fontId="10" numFmtId="0" xfId="0" applyAlignment="1" applyBorder="1" applyFont="1">
      <alignment horizontal="center"/>
    </xf>
    <xf borderId="3" fillId="10" fontId="9" numFmtId="0" xfId="0" applyAlignment="1" applyBorder="1" applyFont="1">
      <alignment horizontal="center" textRotation="90" vertical="center"/>
    </xf>
    <xf borderId="8" fillId="0" fontId="2" numFmtId="0" xfId="0" applyBorder="1" applyFont="1"/>
    <xf borderId="63" fillId="10" fontId="4" numFmtId="1" xfId="0" applyAlignment="1" applyBorder="1" applyFont="1" applyNumberFormat="1">
      <alignment horizontal="center" vertical="center"/>
    </xf>
    <xf borderId="23" fillId="21" fontId="4" numFmtId="1" xfId="0" applyAlignment="1" applyBorder="1" applyFont="1" applyNumberFormat="1">
      <alignment horizontal="center"/>
    </xf>
    <xf borderId="23" fillId="11" fontId="4" numFmtId="1" xfId="0" applyAlignment="1" applyBorder="1" applyFont="1" applyNumberFormat="1">
      <alignment horizontal="center"/>
    </xf>
    <xf borderId="23" fillId="18" fontId="4" numFmtId="1" xfId="0" applyAlignment="1" applyBorder="1" applyFont="1" applyNumberFormat="1">
      <alignment horizontal="center"/>
    </xf>
    <xf borderId="23" fillId="19" fontId="4" numFmtId="1" xfId="0" applyAlignment="1" applyBorder="1" applyFont="1" applyNumberFormat="1">
      <alignment horizontal="center"/>
    </xf>
    <xf borderId="23" fillId="22" fontId="4" numFmtId="1" xfId="0" applyAlignment="1" applyBorder="1" applyFont="1" applyNumberFormat="1">
      <alignment horizontal="center"/>
    </xf>
    <xf borderId="23" fillId="16" fontId="4" numFmtId="1" xfId="0" applyAlignment="1" applyBorder="1" applyFont="1" applyNumberFormat="1">
      <alignment horizontal="center"/>
    </xf>
    <xf borderId="63" fillId="23" fontId="4" numFmtId="1" xfId="0" applyAlignment="1" applyBorder="1" applyFill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3" numFmtId="0" xfId="0" applyFont="1"/>
    <xf borderId="0" fillId="10" fontId="9" numFmtId="0" xfId="0" applyAlignment="1" applyFont="1">
      <alignment horizontal="center" textRotation="90" vertical="center"/>
    </xf>
    <xf borderId="9" fillId="0" fontId="4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textRotation="90" vertical="center"/>
    </xf>
    <xf borderId="11" fillId="9" fontId="9" numFmtId="0" xfId="0" applyAlignment="1" applyBorder="1" applyFont="1">
      <alignment horizontal="center" vertical="center"/>
    </xf>
    <xf borderId="61" fillId="12" fontId="9" numFmtId="0" xfId="0" applyAlignment="1" applyBorder="1" applyFont="1">
      <alignment horizontal="center" vertical="center"/>
    </xf>
    <xf borderId="11" fillId="24" fontId="9" numFmtId="0" xfId="0" applyAlignment="1" applyBorder="1" applyFill="1" applyFont="1">
      <alignment horizontal="center" vertical="center"/>
    </xf>
    <xf borderId="64" fillId="18" fontId="9" numFmtId="0" xfId="0" applyAlignment="1" applyBorder="1" applyFont="1">
      <alignment horizontal="center" vertical="center"/>
    </xf>
    <xf borderId="11" fillId="14" fontId="9" numFmtId="0" xfId="0" applyAlignment="1" applyBorder="1" applyFont="1">
      <alignment horizontal="center" vertical="center"/>
    </xf>
    <xf borderId="65" fillId="0" fontId="2" numFmtId="0" xfId="0" applyBorder="1" applyFont="1"/>
    <xf borderId="25" fillId="16" fontId="9" numFmtId="0" xfId="0" applyAlignment="1" applyBorder="1" applyFont="1">
      <alignment vertical="center"/>
    </xf>
    <xf borderId="14" fillId="8" fontId="9" numFmtId="0" xfId="0" applyAlignment="1" applyBorder="1" applyFont="1">
      <alignment horizontal="center" textRotation="90" vertical="center"/>
    </xf>
    <xf borderId="28" fillId="9" fontId="9" numFmtId="0" xfId="0" applyAlignment="1" applyBorder="1" applyFont="1">
      <alignment horizontal="center" textRotation="90" vertical="center"/>
    </xf>
    <xf borderId="38" fillId="9" fontId="9" numFmtId="0" xfId="0" applyAlignment="1" applyBorder="1" applyFont="1">
      <alignment horizontal="center" textRotation="90" vertical="center"/>
    </xf>
    <xf borderId="39" fillId="9" fontId="9" numFmtId="0" xfId="0" applyAlignment="1" applyBorder="1" applyFont="1">
      <alignment horizontal="center" textRotation="90" vertical="center"/>
    </xf>
    <xf borderId="62" fillId="12" fontId="9" numFmtId="0" xfId="0" applyAlignment="1" applyBorder="1" applyFont="1">
      <alignment horizontal="center" textRotation="90" vertical="center"/>
    </xf>
    <xf borderId="17" fillId="24" fontId="9" numFmtId="0" xfId="0" applyAlignment="1" applyBorder="1" applyFont="1">
      <alignment horizontal="center" textRotation="90" vertical="center"/>
    </xf>
    <xf borderId="9" fillId="24" fontId="9" numFmtId="0" xfId="0" applyAlignment="1" applyBorder="1" applyFont="1">
      <alignment horizontal="center" textRotation="90" vertical="center"/>
    </xf>
    <xf borderId="39" fillId="24" fontId="9" numFmtId="0" xfId="0" applyAlignment="1" applyBorder="1" applyFont="1">
      <alignment horizontal="center" textRotation="90" vertical="center"/>
    </xf>
    <xf borderId="66" fillId="18" fontId="9" numFmtId="0" xfId="0" applyAlignment="1" applyBorder="1" applyFont="1">
      <alignment horizontal="center" textRotation="90" vertical="center"/>
    </xf>
    <xf borderId="28" fillId="14" fontId="9" numFmtId="0" xfId="0" applyAlignment="1" applyBorder="1" applyFont="1">
      <alignment horizontal="center" textRotation="90" vertical="center"/>
    </xf>
    <xf borderId="38" fillId="14" fontId="9" numFmtId="0" xfId="0" applyAlignment="1" applyBorder="1" applyFont="1">
      <alignment horizontal="center" textRotation="90" vertical="center"/>
    </xf>
    <xf borderId="39" fillId="14" fontId="9" numFmtId="0" xfId="0" applyAlignment="1" applyBorder="1" applyFont="1">
      <alignment horizontal="center" textRotation="90" vertical="center"/>
    </xf>
    <xf borderId="28" fillId="4" fontId="9" numFmtId="0" xfId="0" applyAlignment="1" applyBorder="1" applyFont="1">
      <alignment horizontal="center" textRotation="90" vertical="center"/>
    </xf>
    <xf borderId="38" fillId="4" fontId="9" numFmtId="0" xfId="0" applyAlignment="1" applyBorder="1" applyFont="1">
      <alignment horizontal="center" textRotation="90" vertical="center"/>
    </xf>
    <xf borderId="56" fillId="4" fontId="9" numFmtId="0" xfId="0" applyAlignment="1" applyBorder="1" applyFont="1">
      <alignment horizontal="center" textRotation="90" vertical="center"/>
    </xf>
    <xf borderId="39" fillId="4" fontId="9" numFmtId="0" xfId="0" applyAlignment="1" applyBorder="1" applyFont="1">
      <alignment horizontal="center" textRotation="90" vertical="center"/>
    </xf>
    <xf borderId="23" fillId="16" fontId="9" numFmtId="0" xfId="0" applyAlignment="1" applyBorder="1" applyFont="1">
      <alignment horizontal="center" textRotation="90" vertical="center"/>
    </xf>
    <xf borderId="56" fillId="3" fontId="9" numFmtId="0" xfId="0" applyAlignment="1" applyBorder="1" applyFont="1">
      <alignment horizontal="center" textRotation="90" vertical="center"/>
    </xf>
    <xf borderId="67" fillId="6" fontId="9" numFmtId="0" xfId="0" applyAlignment="1" applyBorder="1" applyFont="1">
      <alignment horizontal="center" textRotation="90" vertical="center"/>
    </xf>
    <xf borderId="68" fillId="6" fontId="9" numFmtId="0" xfId="0" applyAlignment="1" applyBorder="1" applyFont="1">
      <alignment horizontal="center" textRotation="90" vertical="center"/>
    </xf>
    <xf borderId="69" fillId="6" fontId="9" numFmtId="0" xfId="0" applyAlignment="1" applyBorder="1" applyFont="1">
      <alignment horizontal="center" textRotation="90" vertical="center"/>
    </xf>
    <xf borderId="39" fillId="6" fontId="9" numFmtId="0" xfId="0" applyAlignment="1" applyBorder="1" applyFont="1">
      <alignment horizontal="center" textRotation="90" vertical="center"/>
    </xf>
    <xf borderId="24" fillId="21" fontId="4" numFmtId="1" xfId="0" applyAlignment="1" applyBorder="1" applyFont="1" applyNumberFormat="1">
      <alignment horizontal="center" vertical="center"/>
    </xf>
    <xf borderId="24" fillId="9" fontId="4" numFmtId="1" xfId="0" applyAlignment="1" applyBorder="1" applyFont="1" applyNumberFormat="1">
      <alignment horizontal="center" vertical="center"/>
    </xf>
    <xf borderId="23" fillId="0" fontId="4" numFmtId="164" xfId="0" applyAlignment="1" applyBorder="1" applyFont="1" applyNumberFormat="1">
      <alignment horizontal="center" vertical="center"/>
    </xf>
    <xf borderId="24" fillId="24" fontId="4" numFmtId="1" xfId="0" applyAlignment="1" applyBorder="1" applyFont="1" applyNumberFormat="1">
      <alignment horizontal="center" vertical="center"/>
    </xf>
    <xf borderId="24" fillId="14" fontId="4" numFmtId="1" xfId="0" applyAlignment="1" applyBorder="1" applyFont="1" applyNumberFormat="1">
      <alignment horizontal="center" vertical="center"/>
    </xf>
    <xf borderId="25" fillId="8" fontId="4" numFmtId="1" xfId="0" applyAlignment="1" applyBorder="1" applyFont="1" applyNumberFormat="1">
      <alignment horizontal="center" vertical="center"/>
    </xf>
    <xf borderId="23" fillId="24" fontId="4" numFmtId="1" xfId="0" applyAlignment="1" applyBorder="1" applyFont="1" applyNumberFormat="1">
      <alignment horizontal="center" vertical="center"/>
    </xf>
    <xf borderId="23" fillId="14" fontId="4" numFmtId="1" xfId="0" applyAlignment="1" applyBorder="1" applyFont="1" applyNumberFormat="1">
      <alignment horizontal="center" vertical="center"/>
    </xf>
    <xf borderId="15" fillId="0" fontId="11" numFmtId="0" xfId="0" applyAlignment="1" applyBorder="1" applyFont="1">
      <alignment horizontal="left" shrinkToFit="0" wrapText="0"/>
    </xf>
    <xf borderId="23" fillId="10" fontId="12" numFmtId="0" xfId="0" applyBorder="1" applyFont="1"/>
    <xf borderId="23" fillId="0" fontId="12" numFmtId="0" xfId="0" applyBorder="1" applyFont="1"/>
    <xf borderId="23" fillId="0" fontId="8" numFmtId="0" xfId="0" applyBorder="1" applyFont="1"/>
    <xf borderId="27" fillId="8" fontId="4" numFmtId="1" xfId="0" applyAlignment="1" applyBorder="1" applyFont="1" applyNumberFormat="1">
      <alignment horizontal="center" vertical="center"/>
    </xf>
    <xf borderId="38" fillId="21" fontId="4" numFmtId="1" xfId="0" applyAlignment="1" applyBorder="1" applyFont="1" applyNumberFormat="1">
      <alignment horizontal="center" vertical="center"/>
    </xf>
    <xf borderId="38" fillId="9" fontId="4" numFmtId="1" xfId="0" applyAlignment="1" applyBorder="1" applyFont="1" applyNumberFormat="1">
      <alignment horizontal="center" vertical="center"/>
    </xf>
    <xf borderId="38" fillId="24" fontId="4" numFmtId="1" xfId="0" applyAlignment="1" applyBorder="1" applyFont="1" applyNumberFormat="1">
      <alignment horizontal="center" vertical="center"/>
    </xf>
    <xf borderId="38" fillId="14" fontId="4" numFmtId="1" xfId="0" applyAlignment="1" applyBorder="1" applyFont="1" applyNumberFormat="1">
      <alignment horizontal="center" vertical="center"/>
    </xf>
    <xf borderId="38" fillId="16" fontId="4" numFmtId="1" xfId="0" applyAlignment="1" applyBorder="1" applyFont="1" applyNumberFormat="1">
      <alignment horizontal="center" vertical="center"/>
    </xf>
    <xf borderId="38" fillId="3" fontId="4" numFmtId="1" xfId="0" applyAlignment="1" applyBorder="1" applyFont="1" applyNumberFormat="1">
      <alignment horizontal="center" vertical="center"/>
    </xf>
    <xf borderId="39" fillId="8" fontId="4" numFmtId="1" xfId="0" applyAlignment="1" applyBorder="1" applyFont="1" applyNumberFormat="1">
      <alignment horizontal="center" vertical="center"/>
    </xf>
    <xf borderId="17" fillId="9" fontId="9" numFmtId="0" xfId="0" applyAlignment="1" applyBorder="1" applyFont="1">
      <alignment horizontal="center" textRotation="90" vertical="center"/>
    </xf>
    <xf borderId="9" fillId="9" fontId="9" numFmtId="0" xfId="0" applyAlignment="1" applyBorder="1" applyFont="1">
      <alignment horizontal="center" textRotation="90" vertical="center"/>
    </xf>
    <xf borderId="28" fillId="24" fontId="9" numFmtId="0" xfId="0" applyAlignment="1" applyBorder="1" applyFont="1">
      <alignment horizontal="center" textRotation="90" vertical="center"/>
    </xf>
    <xf borderId="38" fillId="24" fontId="9" numFmtId="0" xfId="0" applyAlignment="1" applyBorder="1" applyFont="1">
      <alignment horizontal="center" textRotation="90" vertical="center"/>
    </xf>
    <xf borderId="15" fillId="25" fontId="11" numFmtId="0" xfId="0" applyAlignment="1" applyBorder="1" applyFill="1" applyFont="1">
      <alignment horizontal="left" shrinkToFit="0" vertical="bottom" wrapText="0"/>
    </xf>
    <xf borderId="23" fillId="25" fontId="4" numFmtId="0" xfId="0" applyAlignment="1" applyBorder="1" applyFont="1">
      <alignment horizontal="center"/>
    </xf>
    <xf borderId="23" fillId="25" fontId="4" numFmtId="0" xfId="0" applyAlignment="1" applyBorder="1" applyFont="1">
      <alignment horizontal="center" vertical="center"/>
    </xf>
    <xf borderId="23" fillId="25" fontId="4" numFmtId="1" xfId="0" applyAlignment="1" applyBorder="1" applyFont="1" applyNumberFormat="1">
      <alignment horizontal="center" vertical="center"/>
    </xf>
    <xf borderId="24" fillId="25" fontId="4" numFmtId="1" xfId="0" applyAlignment="1" applyBorder="1" applyFont="1" applyNumberFormat="1">
      <alignment horizontal="center" vertical="center"/>
    </xf>
    <xf borderId="23" fillId="0" fontId="18" numFmtId="0" xfId="0" applyAlignment="1" applyBorder="1" applyFont="1">
      <alignment horizontal="left" shrinkToFit="0" vertical="bottom" wrapText="0"/>
    </xf>
    <xf borderId="23" fillId="0" fontId="19" numFmtId="0" xfId="0" applyBorder="1" applyFont="1"/>
    <xf borderId="23" fillId="0" fontId="20" numFmtId="0" xfId="0" applyAlignment="1" applyBorder="1" applyFont="1">
      <alignment horizontal="left" shrinkToFit="0" vertical="bottom" wrapText="0"/>
    </xf>
    <xf borderId="38" fillId="0" fontId="4" numFmtId="0" xfId="0" applyAlignment="1" applyBorder="1" applyFont="1">
      <alignment horizontal="center" vertical="center"/>
    </xf>
    <xf borderId="18" fillId="9" fontId="9" numFmtId="0" xfId="0" applyAlignment="1" applyBorder="1" applyFont="1">
      <alignment horizontal="center" textRotation="90" vertical="center"/>
    </xf>
    <xf borderId="70" fillId="12" fontId="9" numFmtId="0" xfId="0" applyAlignment="1" applyBorder="1" applyFont="1">
      <alignment horizontal="center" textRotation="90" vertical="center"/>
    </xf>
    <xf borderId="17" fillId="24" fontId="9" numFmtId="0" xfId="0" applyAlignment="1" applyBorder="1" applyFont="1">
      <alignment horizontal="center" shrinkToFit="0" textRotation="90" vertical="center" wrapText="1"/>
    </xf>
    <xf borderId="9" fillId="24" fontId="9" numFmtId="0" xfId="0" applyAlignment="1" applyBorder="1" applyFont="1">
      <alignment horizontal="center" shrinkToFit="0" textRotation="90" vertical="center" wrapText="1"/>
    </xf>
    <xf borderId="18" fillId="24" fontId="9" numFmtId="0" xfId="0" applyAlignment="1" applyBorder="1" applyFont="1">
      <alignment horizontal="center" textRotation="90" vertical="center"/>
    </xf>
    <xf borderId="71" fillId="18" fontId="9" numFmtId="0" xfId="0" applyAlignment="1" applyBorder="1" applyFont="1">
      <alignment horizontal="center" textRotation="90" vertical="center"/>
    </xf>
    <xf borderId="17" fillId="14" fontId="9" numFmtId="0" xfId="0" applyAlignment="1" applyBorder="1" applyFont="1">
      <alignment horizontal="center" textRotation="90" vertical="center"/>
    </xf>
    <xf borderId="9" fillId="14" fontId="9" numFmtId="0" xfId="0" applyAlignment="1" applyBorder="1" applyFont="1">
      <alignment horizontal="center" textRotation="90" vertical="center"/>
    </xf>
    <xf borderId="18" fillId="14" fontId="9" numFmtId="0" xfId="0" applyAlignment="1" applyBorder="1" applyFont="1">
      <alignment horizontal="center" textRotation="90" vertical="center"/>
    </xf>
    <xf borderId="49" fillId="4" fontId="9" numFmtId="0" xfId="0" applyAlignment="1" applyBorder="1" applyFont="1">
      <alignment horizontal="center" textRotation="90" vertical="center"/>
    </xf>
    <xf borderId="17" fillId="16" fontId="9" numFmtId="0" xfId="0" applyAlignment="1" applyBorder="1" applyFont="1">
      <alignment horizontal="center" textRotation="90" vertical="center"/>
    </xf>
    <xf borderId="9" fillId="16" fontId="9" numFmtId="0" xfId="0" applyAlignment="1" applyBorder="1" applyFont="1">
      <alignment horizontal="center" textRotation="90" vertical="center"/>
    </xf>
    <xf borderId="49" fillId="16" fontId="9" numFmtId="0" xfId="0" applyAlignment="1" applyBorder="1" applyFont="1">
      <alignment horizontal="center" textRotation="90" vertical="center"/>
    </xf>
    <xf borderId="18" fillId="16" fontId="9" numFmtId="0" xfId="0" applyAlignment="1" applyBorder="1" applyFont="1">
      <alignment horizontal="center" textRotation="90" vertical="center"/>
    </xf>
    <xf borderId="49" fillId="3" fontId="9" numFmtId="0" xfId="0" applyAlignment="1" applyBorder="1" applyFont="1">
      <alignment horizontal="center" textRotation="90" vertical="center"/>
    </xf>
    <xf borderId="72" fillId="6" fontId="9" numFmtId="0" xfId="0" applyAlignment="1" applyBorder="1" applyFont="1">
      <alignment horizontal="center" textRotation="90" vertical="center"/>
    </xf>
    <xf borderId="73" fillId="6" fontId="9" numFmtId="0" xfId="0" applyAlignment="1" applyBorder="1" applyFont="1">
      <alignment horizontal="center" textRotation="90" vertical="center"/>
    </xf>
    <xf borderId="74" fillId="6" fontId="9" numFmtId="0" xfId="0" applyAlignment="1" applyBorder="1" applyFont="1">
      <alignment horizontal="center" textRotation="90" vertical="center"/>
    </xf>
    <xf borderId="15" fillId="0" fontId="5" numFmtId="0" xfId="0" applyAlignment="1" applyBorder="1" applyFont="1">
      <alignment horizontal="left" shrinkToFit="0" vertical="bottom" wrapText="0"/>
    </xf>
    <xf borderId="15" fillId="0" fontId="5" numFmtId="0" xfId="0" applyAlignment="1" applyBorder="1" applyFont="1">
      <alignment vertical="bottom"/>
    </xf>
    <xf borderId="1" fillId="0" fontId="8" numFmtId="0" xfId="0" applyAlignment="1" applyBorder="1" applyFont="1">
      <alignment horizontal="center" textRotation="90" vertical="center"/>
    </xf>
    <xf borderId="75" fillId="24" fontId="9" numFmtId="0" xfId="0" applyAlignment="1" applyBorder="1" applyFont="1">
      <alignment horizontal="center" vertical="center"/>
    </xf>
    <xf borderId="76" fillId="24" fontId="9" numFmtId="0" xfId="0" applyAlignment="1" applyBorder="1" applyFont="1">
      <alignment horizontal="center" vertical="center"/>
    </xf>
    <xf borderId="11" fillId="26" fontId="9" numFmtId="0" xfId="0" applyAlignment="1" applyBorder="1" applyFill="1" applyFont="1">
      <alignment horizontal="center" vertical="center"/>
    </xf>
    <xf borderId="77" fillId="8" fontId="9" numFmtId="0" xfId="0" applyAlignment="1" applyBorder="1" applyFont="1">
      <alignment horizontal="center" textRotation="90" vertical="center"/>
    </xf>
    <xf borderId="6" fillId="0" fontId="2" numFmtId="0" xfId="0" applyBorder="1" applyFont="1"/>
    <xf borderId="75" fillId="24" fontId="9" numFmtId="0" xfId="0" applyAlignment="1" applyBorder="1" applyFont="1">
      <alignment horizontal="center" shrinkToFit="0" textRotation="90" vertical="center" wrapText="1"/>
    </xf>
    <xf borderId="76" fillId="24" fontId="9" numFmtId="0" xfId="0" applyAlignment="1" applyBorder="1" applyFont="1">
      <alignment horizontal="center" shrinkToFit="0" textRotation="90" vertical="center" wrapText="1"/>
    </xf>
    <xf borderId="28" fillId="26" fontId="9" numFmtId="0" xfId="0" applyAlignment="1" applyBorder="1" applyFont="1">
      <alignment horizontal="center" shrinkToFit="0" textRotation="90" vertical="center" wrapText="1"/>
    </xf>
    <xf borderId="38" fillId="26" fontId="9" numFmtId="0" xfId="0" applyAlignment="1" applyBorder="1" applyFont="1">
      <alignment horizontal="center" textRotation="90" vertical="center"/>
    </xf>
    <xf borderId="39" fillId="26" fontId="9" numFmtId="0" xfId="0" applyAlignment="1" applyBorder="1" applyFont="1">
      <alignment horizontal="center" textRotation="90" vertical="center"/>
    </xf>
    <xf borderId="28" fillId="5" fontId="9" numFmtId="0" xfId="0" applyAlignment="1" applyBorder="1" applyFont="1">
      <alignment horizontal="center" textRotation="90" vertical="center"/>
    </xf>
    <xf borderId="38" fillId="5" fontId="9" numFmtId="0" xfId="0" applyAlignment="1" applyBorder="1" applyFont="1">
      <alignment horizontal="center" textRotation="90" vertical="center"/>
    </xf>
    <xf borderId="39" fillId="5" fontId="9" numFmtId="0" xfId="0" applyAlignment="1" applyBorder="1" applyFont="1">
      <alignment horizontal="center" textRotation="90" vertical="center"/>
    </xf>
    <xf borderId="28" fillId="27" fontId="9" numFmtId="0" xfId="0" applyAlignment="1" applyBorder="1" applyFill="1" applyFont="1">
      <alignment horizontal="center" textRotation="90" vertical="center"/>
    </xf>
    <xf borderId="38" fillId="27" fontId="9" numFmtId="0" xfId="0" applyAlignment="1" applyBorder="1" applyFont="1">
      <alignment horizontal="center" textRotation="90" vertical="center"/>
    </xf>
    <xf borderId="38" fillId="6" fontId="9" numFmtId="0" xfId="0" applyAlignment="1" applyBorder="1" applyFont="1">
      <alignment horizontal="center" textRotation="90" vertical="center"/>
    </xf>
    <xf borderId="78" fillId="0" fontId="2" numFmtId="0" xfId="0" applyBorder="1" applyFont="1"/>
    <xf borderId="24" fillId="10" fontId="4" numFmtId="0" xfId="0" applyAlignment="1" applyBorder="1" applyFont="1">
      <alignment vertical="center"/>
    </xf>
    <xf borderId="63" fillId="9" fontId="4" numFmtId="1" xfId="0" applyAlignment="1" applyBorder="1" applyFont="1" applyNumberFormat="1">
      <alignment horizontal="center" vertical="center"/>
    </xf>
    <xf borderId="63" fillId="24" fontId="4" numFmtId="1" xfId="0" applyAlignment="1" applyBorder="1" applyFont="1" applyNumberFormat="1">
      <alignment horizontal="center" vertical="center"/>
    </xf>
    <xf borderId="63" fillId="4" fontId="4" numFmtId="1" xfId="0" applyAlignment="1" applyBorder="1" applyFont="1" applyNumberFormat="1">
      <alignment horizontal="center" vertical="center"/>
    </xf>
    <xf borderId="63" fillId="5" fontId="4" numFmtId="1" xfId="0" applyAlignment="1" applyBorder="1" applyFont="1" applyNumberFormat="1">
      <alignment horizontal="center" vertical="center"/>
    </xf>
    <xf borderId="63" fillId="3" fontId="4" numFmtId="1" xfId="0" applyAlignment="1" applyBorder="1" applyFont="1" applyNumberFormat="1">
      <alignment horizontal="center" vertical="center"/>
    </xf>
    <xf borderId="63" fillId="6" fontId="4" numFmtId="1" xfId="0" applyAlignment="1" applyBorder="1" applyFont="1" applyNumberFormat="1">
      <alignment horizontal="center" vertical="center"/>
    </xf>
    <xf borderId="23" fillId="10" fontId="4" numFmtId="0" xfId="0" applyAlignment="1" applyBorder="1" applyFont="1">
      <alignment vertical="center"/>
    </xf>
    <xf borderId="23" fillId="10" fontId="4" numFmtId="0" xfId="0" applyAlignment="1" applyBorder="1" applyFont="1">
      <alignment shrinkToFit="0" vertical="center" wrapText="1"/>
    </xf>
    <xf borderId="23" fillId="0" fontId="4" numFmtId="0" xfId="0" applyAlignment="1" applyBorder="1" applyFont="1">
      <alignment horizontal="left" vertical="center"/>
    </xf>
    <xf borderId="23" fillId="0" fontId="4" numFmtId="0" xfId="0" applyAlignment="1" applyBorder="1" applyFont="1">
      <alignment vertical="center"/>
    </xf>
    <xf borderId="38" fillId="0" fontId="4" numFmtId="0" xfId="0" applyAlignment="1" applyBorder="1" applyFont="1">
      <alignment horizontal="center"/>
    </xf>
    <xf borderId="10" fillId="0" fontId="1" numFmtId="0" xfId="0" applyAlignment="1" applyBorder="1" applyFont="1">
      <alignment horizontal="center" vertical="center"/>
    </xf>
    <xf borderId="79" fillId="0" fontId="2" numFmtId="0" xfId="0" applyBorder="1" applyFont="1"/>
    <xf borderId="80" fillId="0" fontId="2" numFmtId="0" xfId="0" applyBorder="1" applyFont="1"/>
    <xf borderId="81" fillId="0" fontId="3" numFmtId="0" xfId="0" applyBorder="1" applyFont="1"/>
    <xf borderId="82" fillId="0" fontId="5" numFmtId="0" xfId="0" applyBorder="1" applyFont="1"/>
    <xf borderId="81" fillId="0" fontId="5" numFmtId="0" xfId="0" applyBorder="1" applyFont="1"/>
    <xf borderId="16" fillId="0" fontId="3" numFmtId="0" xfId="0" applyBorder="1" applyFont="1"/>
    <xf borderId="83" fillId="0" fontId="1" numFmtId="0" xfId="0" applyAlignment="1" applyBorder="1" applyFont="1">
      <alignment horizontal="left" vertical="center"/>
    </xf>
    <xf borderId="83" fillId="0" fontId="1" numFmtId="0" xfId="0" applyAlignment="1" applyBorder="1" applyFont="1">
      <alignment vertical="center"/>
    </xf>
    <xf borderId="83" fillId="0" fontId="2" numFmtId="0" xfId="0" applyBorder="1" applyFont="1"/>
    <xf borderId="83" fillId="0" fontId="13" numFmtId="0" xfId="0" applyBorder="1" applyFont="1"/>
    <xf borderId="83" fillId="0" fontId="5" numFmtId="0" xfId="0" applyBorder="1" applyFont="1"/>
    <xf borderId="84" fillId="0" fontId="5" numFmtId="0" xfId="0" applyBorder="1" applyFont="1"/>
    <xf borderId="28" fillId="27" fontId="9" numFmtId="0" xfId="0" applyAlignment="1" applyBorder="1" applyFont="1">
      <alignment horizontal="center" shrinkToFit="0" textRotation="90" vertical="center" wrapText="1"/>
    </xf>
    <xf borderId="85" fillId="8" fontId="4" numFmtId="1" xfId="0" applyAlignment="1" applyBorder="1" applyFont="1" applyNumberFormat="1">
      <alignment horizontal="center" vertical="center"/>
    </xf>
    <xf borderId="83" fillId="0" fontId="5" numFmtId="0" xfId="0" applyAlignment="1" applyBorder="1" applyFont="1">
      <alignment horizontal="left" vertical="center"/>
    </xf>
    <xf borderId="75" fillId="24" fontId="9" numFmtId="0" xfId="0" applyAlignment="1" applyBorder="1" applyFont="1">
      <alignment horizontal="center" textRotation="90" vertical="center"/>
    </xf>
    <xf borderId="76" fillId="24" fontId="9" numFmtId="0" xfId="0" applyAlignment="1" applyBorder="1" applyFont="1">
      <alignment horizontal="center" textRotation="90" vertical="center"/>
    </xf>
    <xf borderId="38" fillId="5" fontId="9" numFmtId="0" xfId="0" applyAlignment="1" applyBorder="1" applyFont="1">
      <alignment horizontal="center" shrinkToFit="0" textRotation="90" vertical="center" wrapText="1"/>
    </xf>
    <xf borderId="23" fillId="0" fontId="4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5" numFmtId="0" xfId="0" applyBorder="1" applyFont="1"/>
    <xf borderId="7" fillId="0" fontId="1" numFmtId="0" xfId="0" applyAlignment="1" applyBorder="1" applyFont="1">
      <alignment horizontal="left"/>
    </xf>
    <xf borderId="0" fillId="0" fontId="9" numFmtId="0" xfId="0" applyAlignment="1" applyFont="1">
      <alignment horizontal="center" textRotation="90" vertical="center"/>
    </xf>
    <xf borderId="86" fillId="9" fontId="9" numFmtId="0" xfId="0" applyAlignment="1" applyBorder="1" applyFont="1">
      <alignment horizontal="center" textRotation="90" vertical="center"/>
    </xf>
    <xf borderId="87" fillId="9" fontId="9" numFmtId="0" xfId="0" applyAlignment="1" applyBorder="1" applyFont="1">
      <alignment horizontal="center" textRotation="90" vertical="center"/>
    </xf>
    <xf borderId="88" fillId="9" fontId="9" numFmtId="0" xfId="0" applyAlignment="1" applyBorder="1" applyFont="1">
      <alignment horizontal="center" textRotation="90" vertical="center"/>
    </xf>
    <xf borderId="24" fillId="10" fontId="4" numFmtId="0" xfId="0" applyAlignment="1" applyBorder="1" applyFont="1">
      <alignment shrinkToFit="0" wrapText="1"/>
    </xf>
    <xf borderId="24" fillId="0" fontId="18" numFmtId="1" xfId="0" applyAlignment="1" applyBorder="1" applyFont="1" applyNumberFormat="1">
      <alignment horizontal="center" vertical="center"/>
    </xf>
    <xf borderId="24" fillId="0" fontId="18" numFmtId="0" xfId="0" applyAlignment="1" applyBorder="1" applyFont="1">
      <alignment horizontal="center" vertical="center"/>
    </xf>
    <xf borderId="23" fillId="10" fontId="4" numFmtId="0" xfId="0" applyAlignment="1" applyBorder="1" applyFont="1">
      <alignment shrinkToFit="0" wrapText="1"/>
    </xf>
    <xf borderId="15" fillId="0" fontId="18" numFmtId="1" xfId="0" applyAlignment="1" applyBorder="1" applyFont="1" applyNumberFormat="1">
      <alignment horizontal="center" vertical="center"/>
    </xf>
    <xf borderId="15" fillId="0" fontId="18" numFmtId="0" xfId="0" applyAlignment="1" applyBorder="1" applyFont="1">
      <alignment horizontal="center" vertical="center"/>
    </xf>
    <xf borderId="23" fillId="10" fontId="12" numFmtId="0" xfId="0" applyAlignment="1" applyBorder="1" applyFont="1">
      <alignment shrinkToFit="0" wrapText="1"/>
    </xf>
    <xf borderId="23" fillId="0" fontId="4" numFmtId="0" xfId="0" applyAlignment="1" applyBorder="1" applyFont="1">
      <alignment horizontal="left" shrinkToFit="0" vertical="center" wrapText="1"/>
    </xf>
    <xf borderId="23" fillId="10" fontId="4" numFmtId="0" xfId="0" applyAlignment="1" applyBorder="1" applyFont="1">
      <alignment horizontal="left" shrinkToFit="0" vertical="center" wrapText="1"/>
    </xf>
    <xf borderId="23" fillId="0" fontId="4" numFmtId="0" xfId="0" applyAlignment="1" applyBorder="1" applyFont="1">
      <alignment shrinkToFit="0" wrapText="1"/>
    </xf>
    <xf borderId="83" fillId="0" fontId="5" numFmtId="0" xfId="0" applyAlignment="1" applyBorder="1" applyFont="1">
      <alignment horizontal="left"/>
    </xf>
    <xf borderId="55" fillId="0" fontId="4" numFmtId="0" xfId="0" applyAlignment="1" applyBorder="1" applyFont="1">
      <alignment horizontal="center" vertical="center"/>
    </xf>
    <xf borderId="65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65" fillId="0" fontId="4" numFmtId="1" xfId="0" applyAlignment="1" applyBorder="1" applyFont="1" applyNumberFormat="1">
      <alignment horizontal="center" vertical="center"/>
    </xf>
    <xf borderId="54" fillId="14" fontId="4" numFmtId="1" xfId="0" applyAlignment="1" applyBorder="1" applyFont="1" applyNumberFormat="1">
      <alignment horizontal="center" vertical="center"/>
    </xf>
    <xf borderId="89" fillId="0" fontId="4" numFmtId="0" xfId="0" applyAlignment="1" applyBorder="1" applyFont="1">
      <alignment horizontal="center" vertical="center"/>
    </xf>
    <xf borderId="90" fillId="0" fontId="4" numFmtId="0" xfId="0" applyAlignment="1" applyBorder="1" applyFont="1">
      <alignment horizontal="center" vertical="center"/>
    </xf>
    <xf borderId="55" fillId="14" fontId="4" numFmtId="1" xfId="0" applyAlignment="1" applyBorder="1" applyFont="1" applyNumberFormat="1">
      <alignment horizontal="center" vertical="center"/>
    </xf>
    <xf borderId="82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5" fillId="0" fontId="11" numFmtId="0" xfId="0" applyAlignment="1" applyBorder="1" applyFont="1">
      <alignment vertical="center"/>
    </xf>
    <xf borderId="89" fillId="0" fontId="4" numFmtId="0" xfId="0" applyAlignment="1" applyBorder="1" applyFont="1">
      <alignment horizontal="center"/>
    </xf>
    <xf borderId="90" fillId="0" fontId="4" numFmtId="0" xfId="0" applyAlignment="1" applyBorder="1" applyFont="1">
      <alignment horizontal="center"/>
    </xf>
    <xf borderId="55" fillId="0" fontId="4" numFmtId="0" xfId="0" applyBorder="1" applyFont="1"/>
    <xf borderId="89" fillId="0" fontId="4" numFmtId="0" xfId="0" applyBorder="1" applyFont="1"/>
    <xf borderId="91" fillId="0" fontId="4" numFmtId="0" xfId="0" applyBorder="1" applyFont="1"/>
    <xf borderId="92" fillId="0" fontId="4" numFmtId="0" xfId="0" applyAlignment="1" applyBorder="1" applyFont="1">
      <alignment horizontal="center"/>
    </xf>
    <xf borderId="92" fillId="0" fontId="4" numFmtId="0" xfId="0" applyBorder="1" applyFont="1"/>
    <xf borderId="23" fillId="0" fontId="11" numFmtId="0" xfId="0" applyAlignment="1" applyBorder="1" applyFont="1">
      <alignment horizontal="left" shrinkToFit="0" vertical="bottom" wrapText="1"/>
    </xf>
    <xf borderId="15" fillId="0" fontId="11" numFmtId="0" xfId="0" applyAlignment="1" applyBorder="1" applyFont="1">
      <alignment horizontal="left" shrinkToFit="0" vertical="bottom" wrapText="1"/>
    </xf>
    <xf borderId="15" fillId="0" fontId="11" numFmtId="0" xfId="0" applyAlignment="1" applyBorder="1" applyFont="1">
      <alignment horizontal="left" shrinkToFit="0" vertical="center" wrapText="1"/>
    </xf>
    <xf borderId="23" fillId="0" fontId="4" numFmtId="0" xfId="0" applyAlignment="1" applyBorder="1" applyFont="1">
      <alignment shrinkToFit="0" vertical="center" wrapText="1"/>
    </xf>
    <xf borderId="23" fillId="24" fontId="4" numFmtId="0" xfId="0" applyAlignment="1" applyBorder="1" applyFont="1">
      <alignment horizontal="center" vertical="center"/>
    </xf>
    <xf borderId="93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0"/>
    <col customWidth="1" min="2" max="2" width="34.89"/>
    <col customWidth="1" min="3" max="3" width="3.78"/>
    <col customWidth="1" min="4" max="4" width="3.44"/>
    <col customWidth="1" min="5" max="6" width="3.67"/>
    <col customWidth="1" min="7" max="8" width="3.44"/>
    <col customWidth="1" min="9" max="9" width="3.67"/>
    <col customWidth="1" min="10" max="10" width="3.44"/>
    <col customWidth="1" min="11" max="11" width="3.67"/>
    <col customWidth="1" min="12" max="12" width="3.78"/>
    <col customWidth="1" min="13" max="14" width="4.0"/>
    <col customWidth="1" min="15" max="17" width="3.78"/>
    <col customWidth="1" min="18" max="18" width="3.44"/>
    <col customWidth="1" min="19" max="20" width="3.78"/>
    <col customWidth="1" min="21" max="22" width="3.67"/>
    <col customWidth="1" min="23" max="24" width="3.78"/>
    <col customWidth="1" min="25" max="25" width="3.44"/>
    <col customWidth="1" min="26" max="26" width="3.33"/>
    <col customWidth="1" min="27" max="27" width="3.44"/>
    <col customWidth="1" min="28" max="28" width="3.67"/>
    <col customWidth="1" min="29" max="29" width="3.44"/>
    <col customWidth="1" min="30" max="30" width="4.0"/>
    <col customWidth="1" min="31" max="31" width="3.78"/>
    <col customWidth="1" min="32" max="32" width="3.67"/>
    <col customWidth="1" min="33" max="35" width="3.44"/>
    <col customWidth="1" min="36" max="37" width="3.67"/>
    <col customWidth="1" min="38" max="38" width="4.0"/>
    <col customWidth="1" min="39" max="40" width="3.78"/>
    <col customWidth="1" min="41" max="41" width="4.0"/>
    <col customWidth="1" min="42" max="42" width="4.11"/>
    <col customWidth="1" min="43" max="43" width="3.78"/>
    <col customWidth="1" min="44" max="44" width="3.67"/>
    <col customWidth="1" min="45" max="45" width="3.78"/>
    <col customWidth="1" min="46" max="46" width="4.0"/>
    <col customWidth="1" min="47" max="47" width="3.78"/>
    <col customWidth="1" min="48" max="48" width="5.11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3"/>
    </row>
    <row r="2" ht="15.75" customHeight="1">
      <c r="A2" s="4"/>
      <c r="B2" s="5"/>
      <c r="C2" s="5"/>
      <c r="D2" s="5"/>
      <c r="E2" s="5"/>
      <c r="F2" s="5"/>
      <c r="H2" s="6"/>
      <c r="L2" s="5"/>
      <c r="M2" s="5"/>
      <c r="N2" s="5"/>
      <c r="O2" s="5"/>
      <c r="P2" s="5"/>
      <c r="Q2" s="5"/>
      <c r="R2" s="5"/>
      <c r="S2" s="5"/>
      <c r="T2" s="5"/>
      <c r="U2" s="5"/>
      <c r="AV2" s="7"/>
    </row>
    <row r="3" ht="24.0" customHeight="1">
      <c r="A3" s="8"/>
      <c r="B3" s="9" t="s">
        <v>1</v>
      </c>
      <c r="C3" s="10" t="s">
        <v>2</v>
      </c>
      <c r="Q3" s="9" t="s">
        <v>3</v>
      </c>
      <c r="V3" s="11" t="s">
        <v>4</v>
      </c>
      <c r="AV3" s="7"/>
    </row>
    <row r="4" ht="25.5" customHeight="1">
      <c r="A4" s="12"/>
      <c r="B4" s="13" t="s">
        <v>5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7</v>
      </c>
      <c r="R4" s="13"/>
      <c r="S4" s="13"/>
      <c r="T4" s="13"/>
      <c r="U4" s="13"/>
      <c r="V4" s="16" t="s">
        <v>8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7"/>
      <c r="AN4" s="17"/>
      <c r="AO4" s="17"/>
      <c r="AP4" s="17"/>
      <c r="AQ4" s="17"/>
      <c r="AR4" s="17"/>
      <c r="AS4" s="17"/>
      <c r="AT4" s="17"/>
      <c r="AU4" s="17"/>
      <c r="AV4" s="18"/>
    </row>
    <row r="5" ht="15.75" customHeight="1">
      <c r="A5" s="19"/>
      <c r="B5" s="19"/>
      <c r="C5" s="19"/>
    </row>
    <row r="6" ht="16.5" customHeight="1">
      <c r="A6" s="20" t="s">
        <v>9</v>
      </c>
      <c r="B6" s="20" t="s">
        <v>10</v>
      </c>
      <c r="C6" s="21" t="s">
        <v>11</v>
      </c>
      <c r="D6" s="22" t="s">
        <v>12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4"/>
      <c r="S6" s="25" t="s">
        <v>13</v>
      </c>
      <c r="T6" s="23"/>
      <c r="U6" s="24"/>
      <c r="V6" s="26" t="s">
        <v>14</v>
      </c>
      <c r="W6" s="23"/>
      <c r="X6" s="23"/>
      <c r="Y6" s="24"/>
      <c r="Z6" s="27" t="s">
        <v>15</v>
      </c>
      <c r="AA6" s="23"/>
      <c r="AB6" s="23"/>
      <c r="AC6" s="23"/>
      <c r="AD6" s="23"/>
      <c r="AE6" s="24"/>
      <c r="AF6" s="28" t="s">
        <v>16</v>
      </c>
      <c r="AG6" s="23"/>
      <c r="AH6" s="23"/>
      <c r="AI6" s="24"/>
      <c r="AJ6" s="29" t="s">
        <v>17</v>
      </c>
      <c r="AK6" s="23"/>
      <c r="AL6" s="23"/>
      <c r="AM6" s="23"/>
      <c r="AN6" s="24"/>
      <c r="AO6" s="30" t="s">
        <v>18</v>
      </c>
      <c r="AP6" s="23"/>
      <c r="AQ6" s="23"/>
      <c r="AR6" s="23"/>
      <c r="AS6" s="23"/>
      <c r="AT6" s="23"/>
      <c r="AU6" s="24"/>
      <c r="AV6" s="31" t="s">
        <v>19</v>
      </c>
    </row>
    <row r="7" ht="62.25" customHeight="1">
      <c r="A7" s="32"/>
      <c r="B7" s="32"/>
      <c r="C7" s="33"/>
      <c r="D7" s="34">
        <v>1.1</v>
      </c>
      <c r="E7" s="35">
        <v>1.2</v>
      </c>
      <c r="F7" s="35">
        <v>1.3</v>
      </c>
      <c r="G7" s="35">
        <v>1.4</v>
      </c>
      <c r="H7" s="35">
        <v>1.5</v>
      </c>
      <c r="I7" s="35">
        <v>1.6</v>
      </c>
      <c r="J7" s="35">
        <v>1.7</v>
      </c>
      <c r="K7" s="35">
        <v>1.8</v>
      </c>
      <c r="L7" s="35">
        <v>1.9</v>
      </c>
      <c r="M7" s="35">
        <v>110.0</v>
      </c>
      <c r="N7" s="35">
        <v>1.11</v>
      </c>
      <c r="O7" s="35">
        <v>1.12</v>
      </c>
      <c r="P7" s="35">
        <v>1.13</v>
      </c>
      <c r="Q7" s="35">
        <v>1.14</v>
      </c>
      <c r="R7" s="36" t="s">
        <v>20</v>
      </c>
      <c r="S7" s="37" t="s">
        <v>21</v>
      </c>
      <c r="T7" s="38" t="s">
        <v>22</v>
      </c>
      <c r="U7" s="39" t="s">
        <v>20</v>
      </c>
      <c r="V7" s="40" t="s">
        <v>23</v>
      </c>
      <c r="W7" s="41" t="s">
        <v>24</v>
      </c>
      <c r="X7" s="42" t="s">
        <v>25</v>
      </c>
      <c r="Y7" s="43" t="s">
        <v>20</v>
      </c>
      <c r="Z7" s="44" t="s">
        <v>26</v>
      </c>
      <c r="AA7" s="45" t="s">
        <v>27</v>
      </c>
      <c r="AB7" s="45" t="s">
        <v>28</v>
      </c>
      <c r="AC7" s="45" t="s">
        <v>29</v>
      </c>
      <c r="AD7" s="45" t="s">
        <v>30</v>
      </c>
      <c r="AE7" s="46" t="s">
        <v>20</v>
      </c>
      <c r="AF7" s="47" t="s">
        <v>31</v>
      </c>
      <c r="AG7" s="48" t="s">
        <v>32</v>
      </c>
      <c r="AH7" s="48" t="s">
        <v>33</v>
      </c>
      <c r="AI7" s="49" t="s">
        <v>20</v>
      </c>
      <c r="AJ7" s="50" t="s">
        <v>34</v>
      </c>
      <c r="AK7" s="51" t="s">
        <v>35</v>
      </c>
      <c r="AL7" s="52" t="s">
        <v>36</v>
      </c>
      <c r="AM7" s="52" t="s">
        <v>37</v>
      </c>
      <c r="AN7" s="53" t="s">
        <v>20</v>
      </c>
      <c r="AO7" s="54" t="s">
        <v>38</v>
      </c>
      <c r="AP7" s="55" t="s">
        <v>39</v>
      </c>
      <c r="AQ7" s="55" t="s">
        <v>40</v>
      </c>
      <c r="AR7" s="55" t="s">
        <v>41</v>
      </c>
      <c r="AS7" s="56" t="s">
        <v>42</v>
      </c>
      <c r="AT7" s="56" t="s">
        <v>43</v>
      </c>
      <c r="AU7" s="57" t="s">
        <v>20</v>
      </c>
      <c r="AV7" s="58"/>
    </row>
    <row r="8" ht="15.75" customHeight="1">
      <c r="A8" s="59">
        <v>1.0</v>
      </c>
      <c r="B8" s="60"/>
      <c r="C8" s="61" t="s">
        <v>44</v>
      </c>
      <c r="D8" s="62"/>
      <c r="E8" s="62"/>
      <c r="F8" s="63"/>
      <c r="G8" s="62"/>
      <c r="H8" s="62"/>
      <c r="I8" s="62"/>
      <c r="J8" s="62"/>
      <c r="K8" s="62"/>
      <c r="L8" s="62"/>
      <c r="M8" s="62"/>
      <c r="N8" s="62"/>
      <c r="O8" s="64"/>
      <c r="P8" s="65"/>
      <c r="Q8" s="64"/>
      <c r="R8" s="66">
        <f t="shared" ref="R8:R49" si="1">SUM(P8:Q8)/2</f>
        <v>0</v>
      </c>
      <c r="S8" s="62"/>
      <c r="T8" s="62"/>
      <c r="U8" s="67">
        <f t="shared" ref="U8:U45" si="2">SUM(R8:T8)/3</f>
        <v>0</v>
      </c>
      <c r="V8" s="62"/>
      <c r="W8" s="62"/>
      <c r="X8" s="62"/>
      <c r="Y8" s="68">
        <v>6.0</v>
      </c>
      <c r="Z8" s="62"/>
      <c r="AA8" s="62"/>
      <c r="AB8" s="62"/>
      <c r="AC8" s="62"/>
      <c r="AD8" s="62"/>
      <c r="AE8" s="69">
        <f t="shared" ref="AE8:AE49" si="3">SUM(AA8:AD8)/4</f>
        <v>0</v>
      </c>
      <c r="AF8" s="62"/>
      <c r="AG8" s="62"/>
      <c r="AH8" s="62"/>
      <c r="AI8" s="70">
        <f t="shared" ref="AI8:AI49" si="4">SUM(AE8:AH8)/4</f>
        <v>0</v>
      </c>
      <c r="AJ8" s="62"/>
      <c r="AK8" s="62"/>
      <c r="AL8" s="62"/>
      <c r="AM8" s="62"/>
      <c r="AN8" s="71">
        <f t="shared" ref="AN8:AN49" si="5">SUM(AJ8:AM8)/4</f>
        <v>0</v>
      </c>
      <c r="AO8" s="62"/>
      <c r="AP8" s="62"/>
      <c r="AQ8" s="62"/>
      <c r="AR8" s="62"/>
      <c r="AS8" s="62"/>
      <c r="AT8" s="62"/>
      <c r="AU8" s="72">
        <f t="shared" ref="AU8:AU49" si="6">SUM(AQ8:AT8)/4</f>
        <v>0</v>
      </c>
      <c r="AV8" s="73">
        <f t="shared" ref="AV8:AV45" si="7">SUM(AU8,AQ8,AL8,AH8,AD8,AA8,Z8,Y8,X8,U8)/10</f>
        <v>0.6</v>
      </c>
    </row>
    <row r="9" ht="15.75" customHeight="1">
      <c r="A9" s="74">
        <v>2.0</v>
      </c>
      <c r="B9" s="60"/>
      <c r="C9" s="75" t="s">
        <v>44</v>
      </c>
      <c r="D9" s="62"/>
      <c r="E9" s="62"/>
      <c r="F9" s="63"/>
      <c r="G9" s="62"/>
      <c r="H9" s="62"/>
      <c r="I9" s="62"/>
      <c r="J9" s="62"/>
      <c r="K9" s="62"/>
      <c r="L9" s="62"/>
      <c r="M9" s="62"/>
      <c r="N9" s="62"/>
      <c r="O9" s="76"/>
      <c r="P9" s="77"/>
      <c r="Q9" s="76"/>
      <c r="R9" s="66">
        <f t="shared" si="1"/>
        <v>0</v>
      </c>
      <c r="S9" s="62"/>
      <c r="T9" s="62"/>
      <c r="U9" s="67">
        <f t="shared" si="2"/>
        <v>0</v>
      </c>
      <c r="V9" s="62"/>
      <c r="W9" s="62"/>
      <c r="X9" s="62"/>
      <c r="Y9" s="68">
        <f t="shared" ref="Y9:Y45" si="8">SUM(V9:X9)/3</f>
        <v>0</v>
      </c>
      <c r="Z9" s="62"/>
      <c r="AA9" s="62"/>
      <c r="AB9" s="62"/>
      <c r="AC9" s="62"/>
      <c r="AD9" s="62"/>
      <c r="AE9" s="69">
        <f t="shared" si="3"/>
        <v>0</v>
      </c>
      <c r="AF9" s="62"/>
      <c r="AG9" s="62"/>
      <c r="AH9" s="62"/>
      <c r="AI9" s="70">
        <f t="shared" si="4"/>
        <v>0</v>
      </c>
      <c r="AJ9" s="62"/>
      <c r="AK9" s="62"/>
      <c r="AL9" s="62"/>
      <c r="AM9" s="62"/>
      <c r="AN9" s="71">
        <f t="shared" si="5"/>
        <v>0</v>
      </c>
      <c r="AO9" s="62"/>
      <c r="AP9" s="62"/>
      <c r="AQ9" s="62"/>
      <c r="AR9" s="62"/>
      <c r="AS9" s="62"/>
      <c r="AT9" s="62"/>
      <c r="AU9" s="78">
        <f t="shared" si="6"/>
        <v>0</v>
      </c>
      <c r="AV9" s="79">
        <f t="shared" si="7"/>
        <v>0</v>
      </c>
    </row>
    <row r="10" ht="15.75" customHeight="1">
      <c r="A10" s="74">
        <v>3.0</v>
      </c>
      <c r="B10" s="60"/>
      <c r="C10" s="75" t="s">
        <v>44</v>
      </c>
      <c r="D10" s="62"/>
      <c r="E10" s="62"/>
      <c r="F10" s="63"/>
      <c r="G10" s="62"/>
      <c r="H10" s="62"/>
      <c r="I10" s="62"/>
      <c r="J10" s="62"/>
      <c r="K10" s="62"/>
      <c r="L10" s="62"/>
      <c r="M10" s="62"/>
      <c r="N10" s="62"/>
      <c r="O10" s="76"/>
      <c r="P10" s="77"/>
      <c r="Q10" s="76"/>
      <c r="R10" s="66">
        <f t="shared" si="1"/>
        <v>0</v>
      </c>
      <c r="S10" s="62"/>
      <c r="T10" s="62"/>
      <c r="U10" s="67">
        <f t="shared" si="2"/>
        <v>0</v>
      </c>
      <c r="V10" s="62"/>
      <c r="W10" s="62"/>
      <c r="X10" s="62"/>
      <c r="Y10" s="68">
        <f t="shared" si="8"/>
        <v>0</v>
      </c>
      <c r="Z10" s="62"/>
      <c r="AA10" s="62"/>
      <c r="AB10" s="62"/>
      <c r="AC10" s="62"/>
      <c r="AD10" s="62"/>
      <c r="AE10" s="69">
        <f t="shared" si="3"/>
        <v>0</v>
      </c>
      <c r="AF10" s="62"/>
      <c r="AG10" s="62"/>
      <c r="AH10" s="62"/>
      <c r="AI10" s="70">
        <f t="shared" si="4"/>
        <v>0</v>
      </c>
      <c r="AJ10" s="62"/>
      <c r="AK10" s="62"/>
      <c r="AL10" s="62"/>
      <c r="AM10" s="62"/>
      <c r="AN10" s="71">
        <f t="shared" si="5"/>
        <v>0</v>
      </c>
      <c r="AO10" s="62"/>
      <c r="AP10" s="62"/>
      <c r="AQ10" s="62"/>
      <c r="AR10" s="62"/>
      <c r="AS10" s="62"/>
      <c r="AT10" s="62"/>
      <c r="AU10" s="78">
        <f t="shared" si="6"/>
        <v>0</v>
      </c>
      <c r="AV10" s="79">
        <f t="shared" si="7"/>
        <v>0</v>
      </c>
    </row>
    <row r="11" ht="15.75" customHeight="1">
      <c r="A11" s="74">
        <v>4.0</v>
      </c>
      <c r="B11" s="60"/>
      <c r="C11" s="75" t="s">
        <v>45</v>
      </c>
      <c r="D11" s="62"/>
      <c r="E11" s="62"/>
      <c r="F11" s="63"/>
      <c r="G11" s="62"/>
      <c r="H11" s="62"/>
      <c r="I11" s="62"/>
      <c r="J11" s="62"/>
      <c r="K11" s="62"/>
      <c r="L11" s="62"/>
      <c r="M11" s="62"/>
      <c r="N11" s="62"/>
      <c r="O11" s="76"/>
      <c r="P11" s="77"/>
      <c r="Q11" s="76"/>
      <c r="R11" s="66">
        <f t="shared" si="1"/>
        <v>0</v>
      </c>
      <c r="S11" s="62"/>
      <c r="T11" s="62"/>
      <c r="U11" s="67">
        <f t="shared" si="2"/>
        <v>0</v>
      </c>
      <c r="V11" s="62"/>
      <c r="W11" s="62"/>
      <c r="X11" s="62"/>
      <c r="Y11" s="68">
        <f t="shared" si="8"/>
        <v>0</v>
      </c>
      <c r="Z11" s="62"/>
      <c r="AA11" s="62"/>
      <c r="AB11" s="62"/>
      <c r="AC11" s="62"/>
      <c r="AD11" s="62"/>
      <c r="AE11" s="69">
        <f t="shared" si="3"/>
        <v>0</v>
      </c>
      <c r="AF11" s="62"/>
      <c r="AG11" s="62"/>
      <c r="AH11" s="62"/>
      <c r="AI11" s="70">
        <f t="shared" si="4"/>
        <v>0</v>
      </c>
      <c r="AJ11" s="62"/>
      <c r="AK11" s="62"/>
      <c r="AL11" s="62"/>
      <c r="AM11" s="62"/>
      <c r="AN11" s="71">
        <f t="shared" si="5"/>
        <v>0</v>
      </c>
      <c r="AO11" s="62"/>
      <c r="AP11" s="62"/>
      <c r="AQ11" s="62"/>
      <c r="AR11" s="62"/>
      <c r="AS11" s="62"/>
      <c r="AT11" s="62"/>
      <c r="AU11" s="78">
        <f t="shared" si="6"/>
        <v>0</v>
      </c>
      <c r="AV11" s="79">
        <f t="shared" si="7"/>
        <v>0</v>
      </c>
    </row>
    <row r="12" ht="15.75" customHeight="1">
      <c r="A12" s="74">
        <v>5.0</v>
      </c>
      <c r="B12" s="60"/>
      <c r="C12" s="75" t="s">
        <v>45</v>
      </c>
      <c r="D12" s="62"/>
      <c r="E12" s="62"/>
      <c r="F12" s="63"/>
      <c r="G12" s="62"/>
      <c r="H12" s="62"/>
      <c r="I12" s="62"/>
      <c r="J12" s="62"/>
      <c r="K12" s="62"/>
      <c r="L12" s="62"/>
      <c r="M12" s="62"/>
      <c r="N12" s="62"/>
      <c r="O12" s="76"/>
      <c r="P12" s="77"/>
      <c r="Q12" s="76"/>
      <c r="R12" s="66">
        <f t="shared" si="1"/>
        <v>0</v>
      </c>
      <c r="S12" s="62"/>
      <c r="T12" s="62"/>
      <c r="U12" s="67">
        <f t="shared" si="2"/>
        <v>0</v>
      </c>
      <c r="V12" s="62"/>
      <c r="W12" s="62"/>
      <c r="X12" s="62"/>
      <c r="Y12" s="68">
        <f t="shared" si="8"/>
        <v>0</v>
      </c>
      <c r="Z12" s="62"/>
      <c r="AA12" s="62"/>
      <c r="AB12" s="62"/>
      <c r="AC12" s="62"/>
      <c r="AD12" s="62"/>
      <c r="AE12" s="69">
        <f t="shared" si="3"/>
        <v>0</v>
      </c>
      <c r="AF12" s="62"/>
      <c r="AG12" s="62"/>
      <c r="AH12" s="62"/>
      <c r="AI12" s="70">
        <f t="shared" si="4"/>
        <v>0</v>
      </c>
      <c r="AJ12" s="62"/>
      <c r="AK12" s="62"/>
      <c r="AL12" s="62"/>
      <c r="AM12" s="62"/>
      <c r="AN12" s="71">
        <f t="shared" si="5"/>
        <v>0</v>
      </c>
      <c r="AO12" s="62"/>
      <c r="AP12" s="62"/>
      <c r="AQ12" s="62"/>
      <c r="AR12" s="62"/>
      <c r="AS12" s="62"/>
      <c r="AT12" s="62"/>
      <c r="AU12" s="78">
        <f t="shared" si="6"/>
        <v>0</v>
      </c>
      <c r="AV12" s="79">
        <f t="shared" si="7"/>
        <v>0</v>
      </c>
    </row>
    <row r="13" ht="15.75" customHeight="1">
      <c r="A13" s="74">
        <v>6.0</v>
      </c>
      <c r="B13" s="60"/>
      <c r="C13" s="75" t="s">
        <v>44</v>
      </c>
      <c r="D13" s="62"/>
      <c r="E13" s="62"/>
      <c r="F13" s="63"/>
      <c r="G13" s="62"/>
      <c r="H13" s="62"/>
      <c r="I13" s="62"/>
      <c r="J13" s="62"/>
      <c r="K13" s="62"/>
      <c r="L13" s="62"/>
      <c r="M13" s="62"/>
      <c r="N13" s="62"/>
      <c r="O13" s="76"/>
      <c r="P13" s="77"/>
      <c r="Q13" s="76"/>
      <c r="R13" s="66">
        <f t="shared" si="1"/>
        <v>0</v>
      </c>
      <c r="S13" s="62"/>
      <c r="T13" s="62"/>
      <c r="U13" s="67">
        <f t="shared" si="2"/>
        <v>0</v>
      </c>
      <c r="V13" s="62"/>
      <c r="W13" s="62"/>
      <c r="X13" s="62"/>
      <c r="Y13" s="68">
        <f t="shared" si="8"/>
        <v>0</v>
      </c>
      <c r="Z13" s="62"/>
      <c r="AA13" s="62"/>
      <c r="AB13" s="62"/>
      <c r="AC13" s="62"/>
      <c r="AD13" s="62"/>
      <c r="AE13" s="69">
        <f t="shared" si="3"/>
        <v>0</v>
      </c>
      <c r="AF13" s="62"/>
      <c r="AG13" s="62"/>
      <c r="AH13" s="62"/>
      <c r="AI13" s="70">
        <f t="shared" si="4"/>
        <v>0</v>
      </c>
      <c r="AJ13" s="62"/>
      <c r="AK13" s="62"/>
      <c r="AL13" s="62"/>
      <c r="AM13" s="62"/>
      <c r="AN13" s="71">
        <f t="shared" si="5"/>
        <v>0</v>
      </c>
      <c r="AO13" s="62"/>
      <c r="AP13" s="62"/>
      <c r="AQ13" s="62"/>
      <c r="AR13" s="62"/>
      <c r="AS13" s="62"/>
      <c r="AT13" s="62"/>
      <c r="AU13" s="78">
        <f t="shared" si="6"/>
        <v>0</v>
      </c>
      <c r="AV13" s="79">
        <f t="shared" si="7"/>
        <v>0</v>
      </c>
    </row>
    <row r="14" ht="15.75" customHeight="1">
      <c r="A14" s="74">
        <v>7.0</v>
      </c>
      <c r="B14" s="60"/>
      <c r="C14" s="75" t="s">
        <v>44</v>
      </c>
      <c r="D14" s="62"/>
      <c r="E14" s="62"/>
      <c r="F14" s="63"/>
      <c r="G14" s="62"/>
      <c r="H14" s="62"/>
      <c r="I14" s="62"/>
      <c r="J14" s="62"/>
      <c r="K14" s="62"/>
      <c r="L14" s="62"/>
      <c r="M14" s="62"/>
      <c r="N14" s="62"/>
      <c r="O14" s="76"/>
      <c r="P14" s="77"/>
      <c r="Q14" s="76"/>
      <c r="R14" s="66">
        <f t="shared" si="1"/>
        <v>0</v>
      </c>
      <c r="S14" s="62"/>
      <c r="T14" s="62"/>
      <c r="U14" s="67">
        <f t="shared" si="2"/>
        <v>0</v>
      </c>
      <c r="V14" s="62"/>
      <c r="W14" s="62"/>
      <c r="X14" s="62"/>
      <c r="Y14" s="68">
        <f t="shared" si="8"/>
        <v>0</v>
      </c>
      <c r="Z14" s="62"/>
      <c r="AA14" s="62"/>
      <c r="AB14" s="62"/>
      <c r="AC14" s="62"/>
      <c r="AD14" s="62"/>
      <c r="AE14" s="69">
        <f t="shared" si="3"/>
        <v>0</v>
      </c>
      <c r="AF14" s="62"/>
      <c r="AG14" s="62"/>
      <c r="AH14" s="62"/>
      <c r="AI14" s="70">
        <f t="shared" si="4"/>
        <v>0</v>
      </c>
      <c r="AJ14" s="62"/>
      <c r="AK14" s="62"/>
      <c r="AL14" s="62"/>
      <c r="AM14" s="62"/>
      <c r="AN14" s="71">
        <f t="shared" si="5"/>
        <v>0</v>
      </c>
      <c r="AO14" s="62"/>
      <c r="AP14" s="62"/>
      <c r="AQ14" s="62"/>
      <c r="AR14" s="62"/>
      <c r="AS14" s="62"/>
      <c r="AT14" s="62"/>
      <c r="AU14" s="78">
        <f t="shared" si="6"/>
        <v>0</v>
      </c>
      <c r="AV14" s="79">
        <f t="shared" si="7"/>
        <v>0</v>
      </c>
    </row>
    <row r="15" ht="15.75" customHeight="1">
      <c r="A15" s="74">
        <v>8.0</v>
      </c>
      <c r="B15" s="60"/>
      <c r="C15" s="75" t="s">
        <v>44</v>
      </c>
      <c r="D15" s="62"/>
      <c r="E15" s="62"/>
      <c r="F15" s="63"/>
      <c r="G15" s="62"/>
      <c r="H15" s="62"/>
      <c r="I15" s="62"/>
      <c r="J15" s="62"/>
      <c r="K15" s="62"/>
      <c r="L15" s="62"/>
      <c r="M15" s="62"/>
      <c r="N15" s="62"/>
      <c r="O15" s="76"/>
      <c r="P15" s="77"/>
      <c r="Q15" s="76"/>
      <c r="R15" s="66">
        <f t="shared" si="1"/>
        <v>0</v>
      </c>
      <c r="S15" s="62"/>
      <c r="T15" s="62"/>
      <c r="U15" s="67">
        <f t="shared" si="2"/>
        <v>0</v>
      </c>
      <c r="V15" s="62"/>
      <c r="W15" s="62"/>
      <c r="X15" s="62"/>
      <c r="Y15" s="68">
        <f t="shared" si="8"/>
        <v>0</v>
      </c>
      <c r="Z15" s="62"/>
      <c r="AA15" s="62"/>
      <c r="AB15" s="62"/>
      <c r="AC15" s="62"/>
      <c r="AD15" s="62"/>
      <c r="AE15" s="69">
        <f t="shared" si="3"/>
        <v>0</v>
      </c>
      <c r="AF15" s="62"/>
      <c r="AG15" s="62"/>
      <c r="AH15" s="62"/>
      <c r="AI15" s="70">
        <f t="shared" si="4"/>
        <v>0</v>
      </c>
      <c r="AJ15" s="62"/>
      <c r="AK15" s="62"/>
      <c r="AL15" s="62"/>
      <c r="AM15" s="62"/>
      <c r="AN15" s="71">
        <f t="shared" si="5"/>
        <v>0</v>
      </c>
      <c r="AO15" s="62"/>
      <c r="AP15" s="62"/>
      <c r="AQ15" s="62"/>
      <c r="AR15" s="62"/>
      <c r="AS15" s="62"/>
      <c r="AT15" s="62"/>
      <c r="AU15" s="78">
        <f t="shared" si="6"/>
        <v>0</v>
      </c>
      <c r="AV15" s="79">
        <f t="shared" si="7"/>
        <v>0</v>
      </c>
    </row>
    <row r="16" ht="15.75" customHeight="1">
      <c r="A16" s="74">
        <v>9.0</v>
      </c>
      <c r="B16" s="60"/>
      <c r="C16" s="75" t="s">
        <v>44</v>
      </c>
      <c r="D16" s="62"/>
      <c r="E16" s="62"/>
      <c r="F16" s="63"/>
      <c r="G16" s="62"/>
      <c r="H16" s="62"/>
      <c r="I16" s="62"/>
      <c r="J16" s="62"/>
      <c r="K16" s="62"/>
      <c r="L16" s="62"/>
      <c r="M16" s="62"/>
      <c r="N16" s="62"/>
      <c r="O16" s="76"/>
      <c r="P16" s="77"/>
      <c r="Q16" s="76"/>
      <c r="R16" s="66">
        <f t="shared" si="1"/>
        <v>0</v>
      </c>
      <c r="S16" s="62"/>
      <c r="T16" s="62"/>
      <c r="U16" s="67">
        <f t="shared" si="2"/>
        <v>0</v>
      </c>
      <c r="V16" s="62"/>
      <c r="W16" s="62"/>
      <c r="X16" s="62"/>
      <c r="Y16" s="68">
        <f t="shared" si="8"/>
        <v>0</v>
      </c>
      <c r="Z16" s="62"/>
      <c r="AA16" s="62"/>
      <c r="AB16" s="62"/>
      <c r="AC16" s="62"/>
      <c r="AD16" s="62"/>
      <c r="AE16" s="69">
        <f t="shared" si="3"/>
        <v>0</v>
      </c>
      <c r="AF16" s="62"/>
      <c r="AG16" s="62"/>
      <c r="AH16" s="62"/>
      <c r="AI16" s="70">
        <f t="shared" si="4"/>
        <v>0</v>
      </c>
      <c r="AJ16" s="62"/>
      <c r="AK16" s="62"/>
      <c r="AL16" s="62"/>
      <c r="AM16" s="62"/>
      <c r="AN16" s="71">
        <f t="shared" si="5"/>
        <v>0</v>
      </c>
      <c r="AO16" s="62"/>
      <c r="AP16" s="62"/>
      <c r="AQ16" s="62"/>
      <c r="AR16" s="62"/>
      <c r="AS16" s="62"/>
      <c r="AT16" s="62"/>
      <c r="AU16" s="78">
        <f t="shared" si="6"/>
        <v>0</v>
      </c>
      <c r="AV16" s="79">
        <f t="shared" si="7"/>
        <v>0</v>
      </c>
    </row>
    <row r="17" ht="15.75" customHeight="1">
      <c r="A17" s="74">
        <v>10.0</v>
      </c>
      <c r="B17" s="60"/>
      <c r="C17" s="75" t="s">
        <v>44</v>
      </c>
      <c r="D17" s="62"/>
      <c r="E17" s="62"/>
      <c r="F17" s="63"/>
      <c r="G17" s="62"/>
      <c r="H17" s="62"/>
      <c r="I17" s="62"/>
      <c r="J17" s="62"/>
      <c r="K17" s="62"/>
      <c r="L17" s="62"/>
      <c r="M17" s="62"/>
      <c r="N17" s="62"/>
      <c r="O17" s="76"/>
      <c r="P17" s="77"/>
      <c r="Q17" s="76"/>
      <c r="R17" s="66">
        <f t="shared" si="1"/>
        <v>0</v>
      </c>
      <c r="S17" s="62"/>
      <c r="T17" s="62"/>
      <c r="U17" s="67">
        <f t="shared" si="2"/>
        <v>0</v>
      </c>
      <c r="V17" s="62"/>
      <c r="W17" s="62"/>
      <c r="X17" s="62"/>
      <c r="Y17" s="68">
        <f t="shared" si="8"/>
        <v>0</v>
      </c>
      <c r="Z17" s="62"/>
      <c r="AA17" s="62"/>
      <c r="AB17" s="62"/>
      <c r="AC17" s="62"/>
      <c r="AD17" s="62"/>
      <c r="AE17" s="69">
        <f t="shared" si="3"/>
        <v>0</v>
      </c>
      <c r="AF17" s="62"/>
      <c r="AG17" s="62"/>
      <c r="AH17" s="62"/>
      <c r="AI17" s="70">
        <f t="shared" si="4"/>
        <v>0</v>
      </c>
      <c r="AJ17" s="62"/>
      <c r="AK17" s="62"/>
      <c r="AL17" s="62"/>
      <c r="AM17" s="62"/>
      <c r="AN17" s="71">
        <f t="shared" si="5"/>
        <v>0</v>
      </c>
      <c r="AO17" s="62"/>
      <c r="AP17" s="62"/>
      <c r="AQ17" s="62"/>
      <c r="AR17" s="62"/>
      <c r="AS17" s="62"/>
      <c r="AT17" s="62"/>
      <c r="AU17" s="78">
        <f t="shared" si="6"/>
        <v>0</v>
      </c>
      <c r="AV17" s="79">
        <f t="shared" si="7"/>
        <v>0</v>
      </c>
    </row>
    <row r="18" ht="15.75" customHeight="1">
      <c r="A18" s="74">
        <v>11.0</v>
      </c>
      <c r="B18" s="60"/>
      <c r="C18" s="75" t="s">
        <v>45</v>
      </c>
      <c r="D18" s="62"/>
      <c r="E18" s="62"/>
      <c r="F18" s="63"/>
      <c r="G18" s="62"/>
      <c r="H18" s="62"/>
      <c r="I18" s="62"/>
      <c r="J18" s="62"/>
      <c r="K18" s="62"/>
      <c r="L18" s="62"/>
      <c r="M18" s="62"/>
      <c r="N18" s="62"/>
      <c r="O18" s="76"/>
      <c r="P18" s="77"/>
      <c r="Q18" s="76"/>
      <c r="R18" s="66">
        <f t="shared" si="1"/>
        <v>0</v>
      </c>
      <c r="S18" s="62"/>
      <c r="T18" s="62"/>
      <c r="U18" s="67">
        <f t="shared" si="2"/>
        <v>0</v>
      </c>
      <c r="V18" s="62"/>
      <c r="W18" s="62"/>
      <c r="X18" s="62"/>
      <c r="Y18" s="68">
        <f t="shared" si="8"/>
        <v>0</v>
      </c>
      <c r="Z18" s="62"/>
      <c r="AA18" s="62"/>
      <c r="AB18" s="62"/>
      <c r="AC18" s="62"/>
      <c r="AD18" s="62"/>
      <c r="AE18" s="69">
        <f t="shared" si="3"/>
        <v>0</v>
      </c>
      <c r="AF18" s="62"/>
      <c r="AG18" s="62"/>
      <c r="AH18" s="62"/>
      <c r="AI18" s="70">
        <f t="shared" si="4"/>
        <v>0</v>
      </c>
      <c r="AJ18" s="62"/>
      <c r="AK18" s="62"/>
      <c r="AL18" s="62"/>
      <c r="AM18" s="62"/>
      <c r="AN18" s="71">
        <f t="shared" si="5"/>
        <v>0</v>
      </c>
      <c r="AO18" s="62"/>
      <c r="AP18" s="62"/>
      <c r="AQ18" s="62"/>
      <c r="AR18" s="62"/>
      <c r="AS18" s="62"/>
      <c r="AT18" s="62"/>
      <c r="AU18" s="78">
        <f t="shared" si="6"/>
        <v>0</v>
      </c>
      <c r="AV18" s="79">
        <f t="shared" si="7"/>
        <v>0</v>
      </c>
    </row>
    <row r="19" ht="15.75" customHeight="1">
      <c r="A19" s="74">
        <v>12.0</v>
      </c>
      <c r="B19" s="60"/>
      <c r="C19" s="75" t="s">
        <v>44</v>
      </c>
      <c r="D19" s="62"/>
      <c r="E19" s="62"/>
      <c r="F19" s="63"/>
      <c r="G19" s="62"/>
      <c r="H19" s="62"/>
      <c r="I19" s="62"/>
      <c r="J19" s="62"/>
      <c r="K19" s="62"/>
      <c r="L19" s="62"/>
      <c r="M19" s="62"/>
      <c r="N19" s="62"/>
      <c r="O19" s="76"/>
      <c r="P19" s="77"/>
      <c r="Q19" s="76"/>
      <c r="R19" s="66">
        <f t="shared" si="1"/>
        <v>0</v>
      </c>
      <c r="S19" s="62"/>
      <c r="T19" s="62"/>
      <c r="U19" s="67">
        <f t="shared" si="2"/>
        <v>0</v>
      </c>
      <c r="V19" s="62"/>
      <c r="W19" s="62"/>
      <c r="X19" s="62"/>
      <c r="Y19" s="68">
        <f t="shared" si="8"/>
        <v>0</v>
      </c>
      <c r="Z19" s="62"/>
      <c r="AA19" s="62"/>
      <c r="AB19" s="62"/>
      <c r="AC19" s="62"/>
      <c r="AD19" s="62"/>
      <c r="AE19" s="69">
        <f t="shared" si="3"/>
        <v>0</v>
      </c>
      <c r="AF19" s="62"/>
      <c r="AG19" s="62"/>
      <c r="AH19" s="62"/>
      <c r="AI19" s="70">
        <f t="shared" si="4"/>
        <v>0</v>
      </c>
      <c r="AJ19" s="62"/>
      <c r="AK19" s="62"/>
      <c r="AL19" s="62"/>
      <c r="AM19" s="62"/>
      <c r="AN19" s="71">
        <f t="shared" si="5"/>
        <v>0</v>
      </c>
      <c r="AO19" s="62"/>
      <c r="AP19" s="62"/>
      <c r="AQ19" s="62"/>
      <c r="AR19" s="62"/>
      <c r="AS19" s="62"/>
      <c r="AT19" s="62"/>
      <c r="AU19" s="78">
        <f t="shared" si="6"/>
        <v>0</v>
      </c>
      <c r="AV19" s="79">
        <f t="shared" si="7"/>
        <v>0</v>
      </c>
    </row>
    <row r="20" ht="15.75" customHeight="1">
      <c r="A20" s="74">
        <v>13.0</v>
      </c>
      <c r="B20" s="60"/>
      <c r="C20" s="75" t="s">
        <v>45</v>
      </c>
      <c r="D20" s="62"/>
      <c r="E20" s="62"/>
      <c r="F20" s="63"/>
      <c r="G20" s="62"/>
      <c r="H20" s="62"/>
      <c r="I20" s="62"/>
      <c r="J20" s="62"/>
      <c r="K20" s="62"/>
      <c r="L20" s="62"/>
      <c r="M20" s="62"/>
      <c r="N20" s="62"/>
      <c r="O20" s="76"/>
      <c r="P20" s="77"/>
      <c r="Q20" s="76"/>
      <c r="R20" s="66">
        <f t="shared" si="1"/>
        <v>0</v>
      </c>
      <c r="S20" s="62"/>
      <c r="T20" s="62"/>
      <c r="U20" s="67">
        <f t="shared" si="2"/>
        <v>0</v>
      </c>
      <c r="V20" s="62"/>
      <c r="W20" s="62"/>
      <c r="X20" s="62"/>
      <c r="Y20" s="68">
        <f t="shared" si="8"/>
        <v>0</v>
      </c>
      <c r="Z20" s="62"/>
      <c r="AA20" s="62"/>
      <c r="AB20" s="62"/>
      <c r="AC20" s="62"/>
      <c r="AD20" s="62"/>
      <c r="AE20" s="69">
        <f t="shared" si="3"/>
        <v>0</v>
      </c>
      <c r="AF20" s="62"/>
      <c r="AG20" s="62"/>
      <c r="AH20" s="62"/>
      <c r="AI20" s="70">
        <f t="shared" si="4"/>
        <v>0</v>
      </c>
      <c r="AJ20" s="62"/>
      <c r="AK20" s="62"/>
      <c r="AL20" s="62"/>
      <c r="AM20" s="62"/>
      <c r="AN20" s="71">
        <f t="shared" si="5"/>
        <v>0</v>
      </c>
      <c r="AO20" s="62"/>
      <c r="AP20" s="62"/>
      <c r="AQ20" s="62"/>
      <c r="AR20" s="62"/>
      <c r="AS20" s="62"/>
      <c r="AT20" s="62"/>
      <c r="AU20" s="78">
        <f t="shared" si="6"/>
        <v>0</v>
      </c>
      <c r="AV20" s="79">
        <f t="shared" si="7"/>
        <v>0</v>
      </c>
    </row>
    <row r="21" ht="15.75" customHeight="1">
      <c r="A21" s="74">
        <v>14.0</v>
      </c>
      <c r="B21" s="60"/>
      <c r="C21" s="75" t="s">
        <v>45</v>
      </c>
      <c r="D21" s="62"/>
      <c r="E21" s="62"/>
      <c r="F21" s="63"/>
      <c r="G21" s="62"/>
      <c r="H21" s="62"/>
      <c r="I21" s="62"/>
      <c r="J21" s="62"/>
      <c r="K21" s="62"/>
      <c r="L21" s="62"/>
      <c r="M21" s="62"/>
      <c r="N21" s="62"/>
      <c r="O21" s="76"/>
      <c r="P21" s="77"/>
      <c r="Q21" s="76"/>
      <c r="R21" s="66">
        <f t="shared" si="1"/>
        <v>0</v>
      </c>
      <c r="S21" s="62"/>
      <c r="T21" s="62"/>
      <c r="U21" s="67">
        <f t="shared" si="2"/>
        <v>0</v>
      </c>
      <c r="V21" s="62"/>
      <c r="W21" s="62"/>
      <c r="X21" s="62"/>
      <c r="Y21" s="68">
        <f t="shared" si="8"/>
        <v>0</v>
      </c>
      <c r="Z21" s="62"/>
      <c r="AA21" s="62"/>
      <c r="AB21" s="62"/>
      <c r="AC21" s="62"/>
      <c r="AD21" s="62"/>
      <c r="AE21" s="69">
        <f t="shared" si="3"/>
        <v>0</v>
      </c>
      <c r="AF21" s="62"/>
      <c r="AG21" s="62"/>
      <c r="AH21" s="62"/>
      <c r="AI21" s="70">
        <f t="shared" si="4"/>
        <v>0</v>
      </c>
      <c r="AJ21" s="62"/>
      <c r="AK21" s="62"/>
      <c r="AL21" s="62"/>
      <c r="AM21" s="62"/>
      <c r="AN21" s="71">
        <f t="shared" si="5"/>
        <v>0</v>
      </c>
      <c r="AO21" s="62"/>
      <c r="AP21" s="62"/>
      <c r="AQ21" s="62"/>
      <c r="AR21" s="62"/>
      <c r="AS21" s="62"/>
      <c r="AT21" s="62"/>
      <c r="AU21" s="78">
        <f t="shared" si="6"/>
        <v>0</v>
      </c>
      <c r="AV21" s="79">
        <f t="shared" si="7"/>
        <v>0</v>
      </c>
    </row>
    <row r="22" ht="15.75" customHeight="1">
      <c r="A22" s="74">
        <v>15.0</v>
      </c>
      <c r="B22" s="60"/>
      <c r="C22" s="75" t="s">
        <v>45</v>
      </c>
      <c r="D22" s="62"/>
      <c r="E22" s="62"/>
      <c r="F22" s="63"/>
      <c r="G22" s="62"/>
      <c r="H22" s="62"/>
      <c r="I22" s="62"/>
      <c r="J22" s="62"/>
      <c r="K22" s="62"/>
      <c r="L22" s="62"/>
      <c r="M22" s="62"/>
      <c r="N22" s="62"/>
      <c r="O22" s="76"/>
      <c r="P22" s="77"/>
      <c r="Q22" s="76"/>
      <c r="R22" s="66">
        <f t="shared" si="1"/>
        <v>0</v>
      </c>
      <c r="S22" s="62"/>
      <c r="T22" s="62"/>
      <c r="U22" s="67">
        <f t="shared" si="2"/>
        <v>0</v>
      </c>
      <c r="V22" s="62"/>
      <c r="W22" s="62"/>
      <c r="X22" s="62"/>
      <c r="Y22" s="68">
        <f t="shared" si="8"/>
        <v>0</v>
      </c>
      <c r="Z22" s="62"/>
      <c r="AA22" s="62"/>
      <c r="AB22" s="62"/>
      <c r="AC22" s="62"/>
      <c r="AD22" s="62"/>
      <c r="AE22" s="69">
        <f t="shared" si="3"/>
        <v>0</v>
      </c>
      <c r="AF22" s="62"/>
      <c r="AG22" s="62"/>
      <c r="AH22" s="62"/>
      <c r="AI22" s="70">
        <f t="shared" si="4"/>
        <v>0</v>
      </c>
      <c r="AJ22" s="62"/>
      <c r="AK22" s="62"/>
      <c r="AL22" s="62"/>
      <c r="AM22" s="62"/>
      <c r="AN22" s="71">
        <f t="shared" si="5"/>
        <v>0</v>
      </c>
      <c r="AO22" s="62"/>
      <c r="AP22" s="62"/>
      <c r="AQ22" s="62"/>
      <c r="AR22" s="62"/>
      <c r="AS22" s="62"/>
      <c r="AT22" s="62"/>
      <c r="AU22" s="78">
        <f t="shared" si="6"/>
        <v>0</v>
      </c>
      <c r="AV22" s="79">
        <f t="shared" si="7"/>
        <v>0</v>
      </c>
    </row>
    <row r="23" ht="15.75" customHeight="1">
      <c r="A23" s="74">
        <v>16.0</v>
      </c>
      <c r="B23" s="60"/>
      <c r="C23" s="75"/>
      <c r="D23" s="62"/>
      <c r="E23" s="62"/>
      <c r="F23" s="63"/>
      <c r="G23" s="62"/>
      <c r="H23" s="62"/>
      <c r="I23" s="62"/>
      <c r="J23" s="62"/>
      <c r="K23" s="62"/>
      <c r="L23" s="62"/>
      <c r="M23" s="62"/>
      <c r="N23" s="62"/>
      <c r="O23" s="80"/>
      <c r="P23" s="81"/>
      <c r="Q23" s="80"/>
      <c r="R23" s="66">
        <f t="shared" si="1"/>
        <v>0</v>
      </c>
      <c r="S23" s="62"/>
      <c r="T23" s="62"/>
      <c r="U23" s="67">
        <f t="shared" si="2"/>
        <v>0</v>
      </c>
      <c r="V23" s="62"/>
      <c r="W23" s="62"/>
      <c r="X23" s="62"/>
      <c r="Y23" s="68">
        <f t="shared" si="8"/>
        <v>0</v>
      </c>
      <c r="Z23" s="62"/>
      <c r="AA23" s="62"/>
      <c r="AB23" s="62"/>
      <c r="AC23" s="62"/>
      <c r="AD23" s="62"/>
      <c r="AE23" s="69">
        <f t="shared" si="3"/>
        <v>0</v>
      </c>
      <c r="AF23" s="62"/>
      <c r="AG23" s="62"/>
      <c r="AH23" s="62"/>
      <c r="AI23" s="70">
        <f t="shared" si="4"/>
        <v>0</v>
      </c>
      <c r="AJ23" s="62"/>
      <c r="AK23" s="62"/>
      <c r="AL23" s="62"/>
      <c r="AM23" s="62"/>
      <c r="AN23" s="71">
        <f t="shared" si="5"/>
        <v>0</v>
      </c>
      <c r="AO23" s="62"/>
      <c r="AP23" s="62"/>
      <c r="AQ23" s="62"/>
      <c r="AR23" s="62"/>
      <c r="AS23" s="62"/>
      <c r="AT23" s="62"/>
      <c r="AU23" s="78">
        <f t="shared" si="6"/>
        <v>0</v>
      </c>
      <c r="AV23" s="79">
        <f t="shared" si="7"/>
        <v>0</v>
      </c>
    </row>
    <row r="24" ht="15.75" customHeight="1">
      <c r="A24" s="74">
        <v>17.0</v>
      </c>
      <c r="B24" s="60"/>
      <c r="C24" s="75" t="s">
        <v>45</v>
      </c>
      <c r="D24" s="62"/>
      <c r="E24" s="62"/>
      <c r="F24" s="63"/>
      <c r="G24" s="62"/>
      <c r="H24" s="62"/>
      <c r="I24" s="62"/>
      <c r="J24" s="62"/>
      <c r="K24" s="62"/>
      <c r="L24" s="62"/>
      <c r="M24" s="62"/>
      <c r="N24" s="62"/>
      <c r="O24" s="76"/>
      <c r="P24" s="77"/>
      <c r="Q24" s="76"/>
      <c r="R24" s="66">
        <f t="shared" si="1"/>
        <v>0</v>
      </c>
      <c r="S24" s="62"/>
      <c r="T24" s="62"/>
      <c r="U24" s="67">
        <f t="shared" si="2"/>
        <v>0</v>
      </c>
      <c r="V24" s="62"/>
      <c r="W24" s="62"/>
      <c r="X24" s="62"/>
      <c r="Y24" s="68">
        <f t="shared" si="8"/>
        <v>0</v>
      </c>
      <c r="Z24" s="62"/>
      <c r="AA24" s="62"/>
      <c r="AB24" s="62"/>
      <c r="AC24" s="62"/>
      <c r="AD24" s="62"/>
      <c r="AE24" s="69">
        <f t="shared" si="3"/>
        <v>0</v>
      </c>
      <c r="AF24" s="62"/>
      <c r="AG24" s="62"/>
      <c r="AH24" s="62"/>
      <c r="AI24" s="70">
        <f t="shared" si="4"/>
        <v>0</v>
      </c>
      <c r="AJ24" s="62"/>
      <c r="AK24" s="62"/>
      <c r="AL24" s="62"/>
      <c r="AM24" s="62"/>
      <c r="AN24" s="71">
        <f t="shared" si="5"/>
        <v>0</v>
      </c>
      <c r="AO24" s="62"/>
      <c r="AP24" s="62"/>
      <c r="AQ24" s="62"/>
      <c r="AR24" s="62"/>
      <c r="AS24" s="62"/>
      <c r="AT24" s="62"/>
      <c r="AU24" s="78">
        <f t="shared" si="6"/>
        <v>0</v>
      </c>
      <c r="AV24" s="79">
        <f t="shared" si="7"/>
        <v>0</v>
      </c>
    </row>
    <row r="25" ht="15.75" customHeight="1">
      <c r="A25" s="74">
        <v>18.0</v>
      </c>
      <c r="B25" s="60"/>
      <c r="C25" s="75" t="s">
        <v>45</v>
      </c>
      <c r="D25" s="62"/>
      <c r="E25" s="62"/>
      <c r="F25" s="63"/>
      <c r="G25" s="62"/>
      <c r="H25" s="62"/>
      <c r="I25" s="62"/>
      <c r="J25" s="62"/>
      <c r="K25" s="62"/>
      <c r="L25" s="62"/>
      <c r="M25" s="62"/>
      <c r="N25" s="62"/>
      <c r="O25" s="76"/>
      <c r="P25" s="77"/>
      <c r="Q25" s="76"/>
      <c r="R25" s="66">
        <f t="shared" si="1"/>
        <v>0</v>
      </c>
      <c r="S25" s="62"/>
      <c r="T25" s="62"/>
      <c r="U25" s="67">
        <f t="shared" si="2"/>
        <v>0</v>
      </c>
      <c r="V25" s="62"/>
      <c r="W25" s="62"/>
      <c r="X25" s="62"/>
      <c r="Y25" s="68">
        <f t="shared" si="8"/>
        <v>0</v>
      </c>
      <c r="Z25" s="62"/>
      <c r="AA25" s="62"/>
      <c r="AB25" s="62"/>
      <c r="AC25" s="62"/>
      <c r="AD25" s="62"/>
      <c r="AE25" s="69">
        <f t="shared" si="3"/>
        <v>0</v>
      </c>
      <c r="AF25" s="62"/>
      <c r="AG25" s="62"/>
      <c r="AH25" s="62"/>
      <c r="AI25" s="70">
        <f t="shared" si="4"/>
        <v>0</v>
      </c>
      <c r="AJ25" s="62"/>
      <c r="AK25" s="62"/>
      <c r="AL25" s="62"/>
      <c r="AM25" s="62"/>
      <c r="AN25" s="71">
        <f t="shared" si="5"/>
        <v>0</v>
      </c>
      <c r="AO25" s="62"/>
      <c r="AP25" s="62"/>
      <c r="AQ25" s="62"/>
      <c r="AR25" s="62"/>
      <c r="AS25" s="62"/>
      <c r="AT25" s="62"/>
      <c r="AU25" s="78">
        <f t="shared" si="6"/>
        <v>0</v>
      </c>
      <c r="AV25" s="79">
        <f t="shared" si="7"/>
        <v>0</v>
      </c>
    </row>
    <row r="26" ht="15.75" customHeight="1">
      <c r="A26" s="74">
        <v>19.0</v>
      </c>
      <c r="B26" s="60"/>
      <c r="C26" s="75" t="s">
        <v>45</v>
      </c>
      <c r="D26" s="62"/>
      <c r="E26" s="62"/>
      <c r="F26" s="63"/>
      <c r="G26" s="62"/>
      <c r="H26" s="62"/>
      <c r="I26" s="62"/>
      <c r="J26" s="62"/>
      <c r="K26" s="62"/>
      <c r="L26" s="62"/>
      <c r="M26" s="62"/>
      <c r="N26" s="62"/>
      <c r="O26" s="76"/>
      <c r="P26" s="77"/>
      <c r="Q26" s="76"/>
      <c r="R26" s="66">
        <f t="shared" si="1"/>
        <v>0</v>
      </c>
      <c r="S26" s="62"/>
      <c r="T26" s="62"/>
      <c r="U26" s="67">
        <f t="shared" si="2"/>
        <v>0</v>
      </c>
      <c r="V26" s="62"/>
      <c r="W26" s="62"/>
      <c r="X26" s="62"/>
      <c r="Y26" s="68">
        <f t="shared" si="8"/>
        <v>0</v>
      </c>
      <c r="Z26" s="62"/>
      <c r="AA26" s="62"/>
      <c r="AB26" s="62"/>
      <c r="AC26" s="62"/>
      <c r="AD26" s="62"/>
      <c r="AE26" s="69">
        <f t="shared" si="3"/>
        <v>0</v>
      </c>
      <c r="AF26" s="62"/>
      <c r="AG26" s="62"/>
      <c r="AH26" s="62"/>
      <c r="AI26" s="70">
        <f t="shared" si="4"/>
        <v>0</v>
      </c>
      <c r="AJ26" s="62"/>
      <c r="AK26" s="62"/>
      <c r="AL26" s="62"/>
      <c r="AM26" s="62"/>
      <c r="AN26" s="71">
        <f t="shared" si="5"/>
        <v>0</v>
      </c>
      <c r="AO26" s="62"/>
      <c r="AP26" s="62"/>
      <c r="AQ26" s="62"/>
      <c r="AR26" s="62"/>
      <c r="AS26" s="62"/>
      <c r="AT26" s="62"/>
      <c r="AU26" s="78">
        <f t="shared" si="6"/>
        <v>0</v>
      </c>
      <c r="AV26" s="79">
        <f t="shared" si="7"/>
        <v>0</v>
      </c>
    </row>
    <row r="27" ht="15.75" customHeight="1">
      <c r="A27" s="74">
        <v>20.0</v>
      </c>
      <c r="B27" s="60"/>
      <c r="C27" s="75" t="s">
        <v>44</v>
      </c>
      <c r="D27" s="62"/>
      <c r="E27" s="62"/>
      <c r="F27" s="63"/>
      <c r="G27" s="62"/>
      <c r="H27" s="62"/>
      <c r="I27" s="62"/>
      <c r="J27" s="62"/>
      <c r="K27" s="62"/>
      <c r="L27" s="62"/>
      <c r="M27" s="62"/>
      <c r="N27" s="62"/>
      <c r="O27" s="76"/>
      <c r="P27" s="77"/>
      <c r="Q27" s="76"/>
      <c r="R27" s="66">
        <f t="shared" si="1"/>
        <v>0</v>
      </c>
      <c r="S27" s="62"/>
      <c r="T27" s="62"/>
      <c r="U27" s="67">
        <f t="shared" si="2"/>
        <v>0</v>
      </c>
      <c r="V27" s="62"/>
      <c r="W27" s="62"/>
      <c r="X27" s="62"/>
      <c r="Y27" s="68">
        <f t="shared" si="8"/>
        <v>0</v>
      </c>
      <c r="Z27" s="62"/>
      <c r="AA27" s="62"/>
      <c r="AB27" s="62"/>
      <c r="AC27" s="62"/>
      <c r="AD27" s="62"/>
      <c r="AE27" s="69">
        <f t="shared" si="3"/>
        <v>0</v>
      </c>
      <c r="AF27" s="62"/>
      <c r="AG27" s="62"/>
      <c r="AH27" s="62"/>
      <c r="AI27" s="70">
        <f t="shared" si="4"/>
        <v>0</v>
      </c>
      <c r="AJ27" s="62"/>
      <c r="AK27" s="62"/>
      <c r="AL27" s="62"/>
      <c r="AM27" s="62"/>
      <c r="AN27" s="71">
        <f t="shared" si="5"/>
        <v>0</v>
      </c>
      <c r="AO27" s="62"/>
      <c r="AP27" s="62"/>
      <c r="AQ27" s="62"/>
      <c r="AR27" s="62"/>
      <c r="AS27" s="62"/>
      <c r="AT27" s="62"/>
      <c r="AU27" s="78">
        <f t="shared" si="6"/>
        <v>0</v>
      </c>
      <c r="AV27" s="79">
        <f t="shared" si="7"/>
        <v>0</v>
      </c>
    </row>
    <row r="28" ht="15.75" customHeight="1">
      <c r="A28" s="74">
        <v>21.0</v>
      </c>
      <c r="B28" s="60"/>
      <c r="C28" s="75" t="s">
        <v>44</v>
      </c>
      <c r="D28" s="62"/>
      <c r="E28" s="62"/>
      <c r="F28" s="63"/>
      <c r="G28" s="62"/>
      <c r="H28" s="62"/>
      <c r="I28" s="62"/>
      <c r="J28" s="62"/>
      <c r="K28" s="62"/>
      <c r="L28" s="62"/>
      <c r="M28" s="62"/>
      <c r="N28" s="62"/>
      <c r="O28" s="76"/>
      <c r="P28" s="77"/>
      <c r="Q28" s="76"/>
      <c r="R28" s="66">
        <f t="shared" si="1"/>
        <v>0</v>
      </c>
      <c r="S28" s="62"/>
      <c r="T28" s="62"/>
      <c r="U28" s="67">
        <f t="shared" si="2"/>
        <v>0</v>
      </c>
      <c r="V28" s="62"/>
      <c r="W28" s="62"/>
      <c r="X28" s="62"/>
      <c r="Y28" s="68">
        <f t="shared" si="8"/>
        <v>0</v>
      </c>
      <c r="Z28" s="62"/>
      <c r="AA28" s="62"/>
      <c r="AB28" s="62"/>
      <c r="AC28" s="62"/>
      <c r="AD28" s="62"/>
      <c r="AE28" s="69">
        <f t="shared" si="3"/>
        <v>0</v>
      </c>
      <c r="AF28" s="62"/>
      <c r="AG28" s="62"/>
      <c r="AH28" s="62"/>
      <c r="AI28" s="70">
        <f t="shared" si="4"/>
        <v>0</v>
      </c>
      <c r="AJ28" s="62"/>
      <c r="AK28" s="62"/>
      <c r="AL28" s="62"/>
      <c r="AM28" s="62"/>
      <c r="AN28" s="71">
        <f t="shared" si="5"/>
        <v>0</v>
      </c>
      <c r="AO28" s="62"/>
      <c r="AP28" s="62"/>
      <c r="AQ28" s="62"/>
      <c r="AR28" s="62"/>
      <c r="AS28" s="62"/>
      <c r="AT28" s="62"/>
      <c r="AU28" s="78">
        <f t="shared" si="6"/>
        <v>0</v>
      </c>
      <c r="AV28" s="79">
        <f t="shared" si="7"/>
        <v>0</v>
      </c>
    </row>
    <row r="29" ht="15.75" customHeight="1">
      <c r="A29" s="74">
        <v>22.0</v>
      </c>
      <c r="B29" s="60"/>
      <c r="C29" s="75" t="s">
        <v>44</v>
      </c>
      <c r="D29" s="62"/>
      <c r="E29" s="62"/>
      <c r="F29" s="63"/>
      <c r="G29" s="62"/>
      <c r="H29" s="62"/>
      <c r="I29" s="62"/>
      <c r="J29" s="62"/>
      <c r="K29" s="62"/>
      <c r="L29" s="62"/>
      <c r="M29" s="62"/>
      <c r="N29" s="62"/>
      <c r="O29" s="76"/>
      <c r="P29" s="77"/>
      <c r="Q29" s="76"/>
      <c r="R29" s="66">
        <f t="shared" si="1"/>
        <v>0</v>
      </c>
      <c r="S29" s="62"/>
      <c r="T29" s="62"/>
      <c r="U29" s="67">
        <f t="shared" si="2"/>
        <v>0</v>
      </c>
      <c r="V29" s="62"/>
      <c r="W29" s="62"/>
      <c r="X29" s="62"/>
      <c r="Y29" s="68">
        <f t="shared" si="8"/>
        <v>0</v>
      </c>
      <c r="Z29" s="62"/>
      <c r="AA29" s="62"/>
      <c r="AB29" s="62"/>
      <c r="AC29" s="62"/>
      <c r="AD29" s="62"/>
      <c r="AE29" s="69">
        <f t="shared" si="3"/>
        <v>0</v>
      </c>
      <c r="AF29" s="62"/>
      <c r="AG29" s="62"/>
      <c r="AH29" s="62"/>
      <c r="AI29" s="70">
        <f t="shared" si="4"/>
        <v>0</v>
      </c>
      <c r="AJ29" s="62"/>
      <c r="AK29" s="62"/>
      <c r="AL29" s="62"/>
      <c r="AM29" s="62"/>
      <c r="AN29" s="71">
        <f t="shared" si="5"/>
        <v>0</v>
      </c>
      <c r="AO29" s="62"/>
      <c r="AP29" s="62"/>
      <c r="AQ29" s="62"/>
      <c r="AR29" s="62"/>
      <c r="AS29" s="62"/>
      <c r="AT29" s="62"/>
      <c r="AU29" s="78">
        <f t="shared" si="6"/>
        <v>0</v>
      </c>
      <c r="AV29" s="79">
        <f t="shared" si="7"/>
        <v>0</v>
      </c>
    </row>
    <row r="30" ht="15.75" customHeight="1">
      <c r="A30" s="74">
        <v>23.0</v>
      </c>
      <c r="B30" s="60"/>
      <c r="C30" s="75" t="s">
        <v>44</v>
      </c>
      <c r="D30" s="62"/>
      <c r="E30" s="62"/>
      <c r="F30" s="63"/>
      <c r="G30" s="62"/>
      <c r="H30" s="62"/>
      <c r="I30" s="62"/>
      <c r="J30" s="62"/>
      <c r="K30" s="62"/>
      <c r="L30" s="62"/>
      <c r="M30" s="62"/>
      <c r="N30" s="62"/>
      <c r="O30" s="76"/>
      <c r="P30" s="77"/>
      <c r="Q30" s="76"/>
      <c r="R30" s="66">
        <f t="shared" si="1"/>
        <v>0</v>
      </c>
      <c r="S30" s="62"/>
      <c r="T30" s="62"/>
      <c r="U30" s="67">
        <f t="shared" si="2"/>
        <v>0</v>
      </c>
      <c r="V30" s="62"/>
      <c r="W30" s="62"/>
      <c r="X30" s="62"/>
      <c r="Y30" s="68">
        <f t="shared" si="8"/>
        <v>0</v>
      </c>
      <c r="Z30" s="62"/>
      <c r="AA30" s="62"/>
      <c r="AB30" s="62"/>
      <c r="AC30" s="62"/>
      <c r="AD30" s="62"/>
      <c r="AE30" s="69">
        <f t="shared" si="3"/>
        <v>0</v>
      </c>
      <c r="AF30" s="62"/>
      <c r="AG30" s="62"/>
      <c r="AH30" s="62"/>
      <c r="AI30" s="70">
        <f t="shared" si="4"/>
        <v>0</v>
      </c>
      <c r="AJ30" s="62"/>
      <c r="AK30" s="62"/>
      <c r="AL30" s="62"/>
      <c r="AM30" s="62"/>
      <c r="AN30" s="71">
        <f t="shared" si="5"/>
        <v>0</v>
      </c>
      <c r="AO30" s="62"/>
      <c r="AP30" s="62"/>
      <c r="AQ30" s="62"/>
      <c r="AR30" s="62"/>
      <c r="AS30" s="62"/>
      <c r="AT30" s="62"/>
      <c r="AU30" s="78">
        <f t="shared" si="6"/>
        <v>0</v>
      </c>
      <c r="AV30" s="79">
        <f t="shared" si="7"/>
        <v>0</v>
      </c>
    </row>
    <row r="31" ht="15.75" customHeight="1">
      <c r="A31" s="74">
        <v>24.0</v>
      </c>
      <c r="B31" s="60"/>
      <c r="C31" s="75" t="s">
        <v>44</v>
      </c>
      <c r="D31" s="62"/>
      <c r="E31" s="62"/>
      <c r="F31" s="63"/>
      <c r="G31" s="62"/>
      <c r="H31" s="62"/>
      <c r="I31" s="62"/>
      <c r="J31" s="62"/>
      <c r="K31" s="62"/>
      <c r="L31" s="62"/>
      <c r="M31" s="62"/>
      <c r="N31" s="62"/>
      <c r="O31" s="76"/>
      <c r="P31" s="77"/>
      <c r="Q31" s="76"/>
      <c r="R31" s="66">
        <f t="shared" si="1"/>
        <v>0</v>
      </c>
      <c r="S31" s="62"/>
      <c r="T31" s="62"/>
      <c r="U31" s="67">
        <f t="shared" si="2"/>
        <v>0</v>
      </c>
      <c r="V31" s="62"/>
      <c r="W31" s="62"/>
      <c r="X31" s="62"/>
      <c r="Y31" s="68">
        <f t="shared" si="8"/>
        <v>0</v>
      </c>
      <c r="Z31" s="62"/>
      <c r="AA31" s="62"/>
      <c r="AB31" s="62"/>
      <c r="AC31" s="62"/>
      <c r="AD31" s="62"/>
      <c r="AE31" s="69">
        <f t="shared" si="3"/>
        <v>0</v>
      </c>
      <c r="AF31" s="62"/>
      <c r="AG31" s="62"/>
      <c r="AH31" s="62"/>
      <c r="AI31" s="70">
        <f t="shared" si="4"/>
        <v>0</v>
      </c>
      <c r="AJ31" s="62"/>
      <c r="AK31" s="62"/>
      <c r="AL31" s="62"/>
      <c r="AM31" s="62"/>
      <c r="AN31" s="71">
        <f t="shared" si="5"/>
        <v>0</v>
      </c>
      <c r="AO31" s="62"/>
      <c r="AP31" s="62"/>
      <c r="AQ31" s="62"/>
      <c r="AR31" s="62"/>
      <c r="AS31" s="62"/>
      <c r="AT31" s="62"/>
      <c r="AU31" s="78">
        <f t="shared" si="6"/>
        <v>0</v>
      </c>
      <c r="AV31" s="79">
        <f t="shared" si="7"/>
        <v>0</v>
      </c>
    </row>
    <row r="32" ht="15.75" customHeight="1">
      <c r="A32" s="74">
        <v>25.0</v>
      </c>
      <c r="B32" s="60"/>
      <c r="C32" s="75" t="s">
        <v>44</v>
      </c>
      <c r="D32" s="62"/>
      <c r="E32" s="62"/>
      <c r="F32" s="63"/>
      <c r="G32" s="62"/>
      <c r="H32" s="62"/>
      <c r="I32" s="62"/>
      <c r="J32" s="62"/>
      <c r="K32" s="62"/>
      <c r="L32" s="62"/>
      <c r="M32" s="62"/>
      <c r="N32" s="62"/>
      <c r="O32" s="76"/>
      <c r="P32" s="77"/>
      <c r="Q32" s="76"/>
      <c r="R32" s="66">
        <f t="shared" si="1"/>
        <v>0</v>
      </c>
      <c r="S32" s="62"/>
      <c r="T32" s="62"/>
      <c r="U32" s="67">
        <f t="shared" si="2"/>
        <v>0</v>
      </c>
      <c r="V32" s="62"/>
      <c r="W32" s="62"/>
      <c r="X32" s="62"/>
      <c r="Y32" s="68">
        <f t="shared" si="8"/>
        <v>0</v>
      </c>
      <c r="Z32" s="62"/>
      <c r="AA32" s="62"/>
      <c r="AB32" s="62"/>
      <c r="AC32" s="62"/>
      <c r="AD32" s="62"/>
      <c r="AE32" s="69">
        <f t="shared" si="3"/>
        <v>0</v>
      </c>
      <c r="AF32" s="62"/>
      <c r="AG32" s="62"/>
      <c r="AH32" s="62"/>
      <c r="AI32" s="70">
        <f t="shared" si="4"/>
        <v>0</v>
      </c>
      <c r="AJ32" s="62"/>
      <c r="AK32" s="62"/>
      <c r="AL32" s="62"/>
      <c r="AM32" s="62"/>
      <c r="AN32" s="71">
        <f t="shared" si="5"/>
        <v>0</v>
      </c>
      <c r="AO32" s="62"/>
      <c r="AP32" s="62"/>
      <c r="AQ32" s="62"/>
      <c r="AR32" s="62"/>
      <c r="AS32" s="62"/>
      <c r="AT32" s="62"/>
      <c r="AU32" s="78">
        <f t="shared" si="6"/>
        <v>0</v>
      </c>
      <c r="AV32" s="79">
        <f t="shared" si="7"/>
        <v>0</v>
      </c>
    </row>
    <row r="33" ht="15.75" customHeight="1">
      <c r="A33" s="74">
        <v>26.0</v>
      </c>
      <c r="B33" s="60"/>
      <c r="C33" s="75" t="s">
        <v>44</v>
      </c>
      <c r="D33" s="62"/>
      <c r="E33" s="62"/>
      <c r="F33" s="63"/>
      <c r="G33" s="62"/>
      <c r="H33" s="62"/>
      <c r="I33" s="62"/>
      <c r="J33" s="62"/>
      <c r="K33" s="62"/>
      <c r="L33" s="62"/>
      <c r="M33" s="62"/>
      <c r="N33" s="62"/>
      <c r="O33" s="76"/>
      <c r="P33" s="77"/>
      <c r="Q33" s="76"/>
      <c r="R33" s="66">
        <f t="shared" si="1"/>
        <v>0</v>
      </c>
      <c r="S33" s="62"/>
      <c r="T33" s="62"/>
      <c r="U33" s="67">
        <f t="shared" si="2"/>
        <v>0</v>
      </c>
      <c r="V33" s="62"/>
      <c r="W33" s="62"/>
      <c r="X33" s="62"/>
      <c r="Y33" s="68">
        <f t="shared" si="8"/>
        <v>0</v>
      </c>
      <c r="Z33" s="62"/>
      <c r="AA33" s="62"/>
      <c r="AB33" s="62"/>
      <c r="AC33" s="62"/>
      <c r="AD33" s="62"/>
      <c r="AE33" s="69">
        <f t="shared" si="3"/>
        <v>0</v>
      </c>
      <c r="AF33" s="62"/>
      <c r="AG33" s="62"/>
      <c r="AH33" s="62"/>
      <c r="AI33" s="70">
        <f t="shared" si="4"/>
        <v>0</v>
      </c>
      <c r="AJ33" s="62"/>
      <c r="AK33" s="62"/>
      <c r="AL33" s="62"/>
      <c r="AM33" s="62"/>
      <c r="AN33" s="71">
        <f t="shared" si="5"/>
        <v>0</v>
      </c>
      <c r="AO33" s="62"/>
      <c r="AP33" s="62"/>
      <c r="AQ33" s="62"/>
      <c r="AR33" s="62"/>
      <c r="AS33" s="62"/>
      <c r="AT33" s="62"/>
      <c r="AU33" s="78">
        <f t="shared" si="6"/>
        <v>0</v>
      </c>
      <c r="AV33" s="79">
        <f t="shared" si="7"/>
        <v>0</v>
      </c>
    </row>
    <row r="34" ht="15.75" customHeight="1">
      <c r="A34" s="74">
        <v>27.0</v>
      </c>
      <c r="B34" s="60"/>
      <c r="C34" s="75" t="s">
        <v>44</v>
      </c>
      <c r="D34" s="62"/>
      <c r="E34" s="62"/>
      <c r="F34" s="63"/>
      <c r="G34" s="62"/>
      <c r="H34" s="62"/>
      <c r="I34" s="62"/>
      <c r="J34" s="62"/>
      <c r="K34" s="62"/>
      <c r="L34" s="62"/>
      <c r="M34" s="62"/>
      <c r="N34" s="62"/>
      <c r="O34" s="76"/>
      <c r="P34" s="77"/>
      <c r="Q34" s="76"/>
      <c r="R34" s="66">
        <f t="shared" si="1"/>
        <v>0</v>
      </c>
      <c r="S34" s="62"/>
      <c r="T34" s="62"/>
      <c r="U34" s="67">
        <f t="shared" si="2"/>
        <v>0</v>
      </c>
      <c r="V34" s="62"/>
      <c r="W34" s="62"/>
      <c r="X34" s="62"/>
      <c r="Y34" s="68">
        <f t="shared" si="8"/>
        <v>0</v>
      </c>
      <c r="Z34" s="62"/>
      <c r="AA34" s="62"/>
      <c r="AB34" s="62"/>
      <c r="AC34" s="62"/>
      <c r="AD34" s="62"/>
      <c r="AE34" s="69">
        <f t="shared" si="3"/>
        <v>0</v>
      </c>
      <c r="AF34" s="62"/>
      <c r="AG34" s="62"/>
      <c r="AH34" s="62"/>
      <c r="AI34" s="70">
        <f t="shared" si="4"/>
        <v>0</v>
      </c>
      <c r="AJ34" s="62"/>
      <c r="AK34" s="62"/>
      <c r="AL34" s="62"/>
      <c r="AM34" s="62"/>
      <c r="AN34" s="71">
        <f t="shared" si="5"/>
        <v>0</v>
      </c>
      <c r="AO34" s="62"/>
      <c r="AP34" s="62"/>
      <c r="AQ34" s="62"/>
      <c r="AR34" s="62"/>
      <c r="AS34" s="62"/>
      <c r="AT34" s="62"/>
      <c r="AU34" s="78">
        <f t="shared" si="6"/>
        <v>0</v>
      </c>
      <c r="AV34" s="79">
        <f t="shared" si="7"/>
        <v>0</v>
      </c>
    </row>
    <row r="35" ht="15.75" customHeight="1">
      <c r="A35" s="74">
        <v>28.0</v>
      </c>
      <c r="B35" s="60"/>
      <c r="C35" s="75" t="s">
        <v>44</v>
      </c>
      <c r="D35" s="62"/>
      <c r="E35" s="62"/>
      <c r="F35" s="63"/>
      <c r="G35" s="62"/>
      <c r="H35" s="62"/>
      <c r="I35" s="62"/>
      <c r="J35" s="62"/>
      <c r="K35" s="62"/>
      <c r="L35" s="62"/>
      <c r="M35" s="62"/>
      <c r="N35" s="62"/>
      <c r="O35" s="76"/>
      <c r="P35" s="77"/>
      <c r="Q35" s="76"/>
      <c r="R35" s="66">
        <f t="shared" si="1"/>
        <v>0</v>
      </c>
      <c r="S35" s="62"/>
      <c r="T35" s="62"/>
      <c r="U35" s="67">
        <f t="shared" si="2"/>
        <v>0</v>
      </c>
      <c r="V35" s="62"/>
      <c r="W35" s="62"/>
      <c r="X35" s="62"/>
      <c r="Y35" s="68">
        <f t="shared" si="8"/>
        <v>0</v>
      </c>
      <c r="Z35" s="62"/>
      <c r="AA35" s="62"/>
      <c r="AB35" s="62"/>
      <c r="AC35" s="62"/>
      <c r="AD35" s="62"/>
      <c r="AE35" s="69">
        <f t="shared" si="3"/>
        <v>0</v>
      </c>
      <c r="AF35" s="62"/>
      <c r="AG35" s="62"/>
      <c r="AH35" s="62"/>
      <c r="AI35" s="70">
        <f t="shared" si="4"/>
        <v>0</v>
      </c>
      <c r="AJ35" s="62"/>
      <c r="AK35" s="62"/>
      <c r="AL35" s="62"/>
      <c r="AM35" s="62"/>
      <c r="AN35" s="71">
        <f t="shared" si="5"/>
        <v>0</v>
      </c>
      <c r="AO35" s="62"/>
      <c r="AP35" s="62"/>
      <c r="AQ35" s="62"/>
      <c r="AR35" s="62"/>
      <c r="AS35" s="62"/>
      <c r="AT35" s="62"/>
      <c r="AU35" s="78">
        <f t="shared" si="6"/>
        <v>0</v>
      </c>
      <c r="AV35" s="79">
        <f t="shared" si="7"/>
        <v>0</v>
      </c>
    </row>
    <row r="36" ht="15.75" customHeight="1">
      <c r="A36" s="74">
        <v>29.0</v>
      </c>
      <c r="B36" s="60"/>
      <c r="C36" s="75" t="s">
        <v>44</v>
      </c>
      <c r="D36" s="62"/>
      <c r="E36" s="62"/>
      <c r="F36" s="63"/>
      <c r="G36" s="62"/>
      <c r="H36" s="62"/>
      <c r="I36" s="62"/>
      <c r="J36" s="62"/>
      <c r="K36" s="62"/>
      <c r="L36" s="62"/>
      <c r="M36" s="62"/>
      <c r="N36" s="62"/>
      <c r="O36" s="76"/>
      <c r="P36" s="77"/>
      <c r="Q36" s="76"/>
      <c r="R36" s="66">
        <f t="shared" si="1"/>
        <v>0</v>
      </c>
      <c r="S36" s="62"/>
      <c r="T36" s="62"/>
      <c r="U36" s="67">
        <f t="shared" si="2"/>
        <v>0</v>
      </c>
      <c r="V36" s="62"/>
      <c r="W36" s="62"/>
      <c r="X36" s="62"/>
      <c r="Y36" s="68">
        <f t="shared" si="8"/>
        <v>0</v>
      </c>
      <c r="Z36" s="62"/>
      <c r="AA36" s="62"/>
      <c r="AB36" s="62"/>
      <c r="AC36" s="62"/>
      <c r="AD36" s="62"/>
      <c r="AE36" s="69">
        <f t="shared" si="3"/>
        <v>0</v>
      </c>
      <c r="AF36" s="62"/>
      <c r="AG36" s="62"/>
      <c r="AH36" s="62"/>
      <c r="AI36" s="70">
        <f t="shared" si="4"/>
        <v>0</v>
      </c>
      <c r="AJ36" s="62"/>
      <c r="AK36" s="62"/>
      <c r="AL36" s="62"/>
      <c r="AM36" s="62"/>
      <c r="AN36" s="71">
        <f t="shared" si="5"/>
        <v>0</v>
      </c>
      <c r="AO36" s="62"/>
      <c r="AP36" s="62"/>
      <c r="AQ36" s="62"/>
      <c r="AR36" s="62"/>
      <c r="AS36" s="62"/>
      <c r="AT36" s="62"/>
      <c r="AU36" s="78">
        <f t="shared" si="6"/>
        <v>0</v>
      </c>
      <c r="AV36" s="79">
        <f t="shared" si="7"/>
        <v>0</v>
      </c>
    </row>
    <row r="37" ht="15.75" customHeight="1">
      <c r="A37" s="74">
        <v>30.0</v>
      </c>
      <c r="B37" s="60"/>
      <c r="C37" s="75" t="s">
        <v>45</v>
      </c>
      <c r="D37" s="62"/>
      <c r="E37" s="62"/>
      <c r="F37" s="63"/>
      <c r="G37" s="62"/>
      <c r="H37" s="62"/>
      <c r="I37" s="62"/>
      <c r="J37" s="62"/>
      <c r="K37" s="62"/>
      <c r="L37" s="62"/>
      <c r="M37" s="62"/>
      <c r="N37" s="62"/>
      <c r="O37" s="76"/>
      <c r="P37" s="77"/>
      <c r="Q37" s="76"/>
      <c r="R37" s="66">
        <f t="shared" si="1"/>
        <v>0</v>
      </c>
      <c r="S37" s="62"/>
      <c r="T37" s="62"/>
      <c r="U37" s="67">
        <f t="shared" si="2"/>
        <v>0</v>
      </c>
      <c r="V37" s="62"/>
      <c r="W37" s="62"/>
      <c r="X37" s="62"/>
      <c r="Y37" s="68">
        <f t="shared" si="8"/>
        <v>0</v>
      </c>
      <c r="Z37" s="62"/>
      <c r="AA37" s="62"/>
      <c r="AB37" s="62"/>
      <c r="AC37" s="62"/>
      <c r="AD37" s="62"/>
      <c r="AE37" s="69">
        <f t="shared" si="3"/>
        <v>0</v>
      </c>
      <c r="AF37" s="62"/>
      <c r="AG37" s="62"/>
      <c r="AH37" s="62"/>
      <c r="AI37" s="70">
        <f t="shared" si="4"/>
        <v>0</v>
      </c>
      <c r="AJ37" s="62"/>
      <c r="AK37" s="62"/>
      <c r="AL37" s="62"/>
      <c r="AM37" s="62"/>
      <c r="AN37" s="71">
        <f t="shared" si="5"/>
        <v>0</v>
      </c>
      <c r="AO37" s="62"/>
      <c r="AP37" s="62"/>
      <c r="AQ37" s="62"/>
      <c r="AR37" s="62"/>
      <c r="AS37" s="62"/>
      <c r="AT37" s="62"/>
      <c r="AU37" s="78">
        <f t="shared" si="6"/>
        <v>0</v>
      </c>
      <c r="AV37" s="79">
        <f t="shared" si="7"/>
        <v>0</v>
      </c>
    </row>
    <row r="38" ht="15.75" customHeight="1">
      <c r="A38" s="74">
        <v>31.0</v>
      </c>
      <c r="B38" s="60"/>
      <c r="C38" s="75" t="s">
        <v>45</v>
      </c>
      <c r="D38" s="65"/>
      <c r="E38" s="65"/>
      <c r="F38" s="63"/>
      <c r="G38" s="65"/>
      <c r="H38" s="65"/>
      <c r="I38" s="65"/>
      <c r="J38" s="65"/>
      <c r="K38" s="65"/>
      <c r="L38" s="65"/>
      <c r="M38" s="65"/>
      <c r="N38" s="65"/>
      <c r="O38" s="82"/>
      <c r="P38" s="83"/>
      <c r="Q38" s="82"/>
      <c r="R38" s="66">
        <f t="shared" si="1"/>
        <v>0</v>
      </c>
      <c r="S38" s="65"/>
      <c r="T38" s="65"/>
      <c r="U38" s="67">
        <f t="shared" si="2"/>
        <v>0</v>
      </c>
      <c r="V38" s="65"/>
      <c r="W38" s="65"/>
      <c r="X38" s="65"/>
      <c r="Y38" s="68">
        <f t="shared" si="8"/>
        <v>0</v>
      </c>
      <c r="Z38" s="65"/>
      <c r="AA38" s="65"/>
      <c r="AB38" s="65"/>
      <c r="AC38" s="65"/>
      <c r="AD38" s="65"/>
      <c r="AE38" s="69">
        <f t="shared" si="3"/>
        <v>0</v>
      </c>
      <c r="AF38" s="65"/>
      <c r="AG38" s="65"/>
      <c r="AH38" s="65"/>
      <c r="AI38" s="70">
        <f t="shared" si="4"/>
        <v>0</v>
      </c>
      <c r="AJ38" s="65"/>
      <c r="AK38" s="65"/>
      <c r="AL38" s="65"/>
      <c r="AM38" s="65"/>
      <c r="AN38" s="71">
        <f t="shared" si="5"/>
        <v>0</v>
      </c>
      <c r="AO38" s="65"/>
      <c r="AP38" s="65"/>
      <c r="AQ38" s="65"/>
      <c r="AR38" s="65"/>
      <c r="AS38" s="65"/>
      <c r="AT38" s="65"/>
      <c r="AU38" s="78">
        <f t="shared" si="6"/>
        <v>0</v>
      </c>
      <c r="AV38" s="79">
        <f t="shared" si="7"/>
        <v>0</v>
      </c>
    </row>
    <row r="39" ht="15.75" customHeight="1">
      <c r="A39" s="74">
        <v>32.0</v>
      </c>
      <c r="B39" s="60"/>
      <c r="C39" s="75" t="s">
        <v>45</v>
      </c>
      <c r="D39" s="65"/>
      <c r="E39" s="65"/>
      <c r="F39" s="63"/>
      <c r="G39" s="65"/>
      <c r="H39" s="65"/>
      <c r="I39" s="65"/>
      <c r="J39" s="65"/>
      <c r="K39" s="65"/>
      <c r="L39" s="65"/>
      <c r="M39" s="65"/>
      <c r="N39" s="65"/>
      <c r="O39" s="82"/>
      <c r="P39" s="83"/>
      <c r="Q39" s="82"/>
      <c r="R39" s="66">
        <f t="shared" si="1"/>
        <v>0</v>
      </c>
      <c r="S39" s="65"/>
      <c r="T39" s="65"/>
      <c r="U39" s="67">
        <f t="shared" si="2"/>
        <v>0</v>
      </c>
      <c r="V39" s="65"/>
      <c r="W39" s="65"/>
      <c r="X39" s="65"/>
      <c r="Y39" s="68">
        <f t="shared" si="8"/>
        <v>0</v>
      </c>
      <c r="Z39" s="65"/>
      <c r="AA39" s="65"/>
      <c r="AB39" s="65"/>
      <c r="AC39" s="65"/>
      <c r="AD39" s="65"/>
      <c r="AE39" s="69">
        <f t="shared" si="3"/>
        <v>0</v>
      </c>
      <c r="AF39" s="65"/>
      <c r="AG39" s="65"/>
      <c r="AH39" s="65"/>
      <c r="AI39" s="70">
        <f t="shared" si="4"/>
        <v>0</v>
      </c>
      <c r="AJ39" s="65"/>
      <c r="AK39" s="65"/>
      <c r="AL39" s="65"/>
      <c r="AM39" s="65"/>
      <c r="AN39" s="71">
        <f t="shared" si="5"/>
        <v>0</v>
      </c>
      <c r="AO39" s="65"/>
      <c r="AP39" s="65"/>
      <c r="AQ39" s="65"/>
      <c r="AR39" s="65"/>
      <c r="AS39" s="65"/>
      <c r="AT39" s="65"/>
      <c r="AU39" s="78">
        <f t="shared" si="6"/>
        <v>0</v>
      </c>
      <c r="AV39" s="79">
        <f t="shared" si="7"/>
        <v>0</v>
      </c>
    </row>
    <row r="40" ht="15.75" customHeight="1">
      <c r="A40" s="74">
        <v>33.0</v>
      </c>
      <c r="B40" s="60"/>
      <c r="C40" s="75" t="s">
        <v>45</v>
      </c>
      <c r="D40" s="65"/>
      <c r="E40" s="65"/>
      <c r="F40" s="63"/>
      <c r="G40" s="65"/>
      <c r="H40" s="65"/>
      <c r="I40" s="65"/>
      <c r="J40" s="65"/>
      <c r="K40" s="65"/>
      <c r="L40" s="65"/>
      <c r="M40" s="65"/>
      <c r="N40" s="65"/>
      <c r="O40" s="82"/>
      <c r="P40" s="83"/>
      <c r="Q40" s="82"/>
      <c r="R40" s="66">
        <f t="shared" si="1"/>
        <v>0</v>
      </c>
      <c r="S40" s="65"/>
      <c r="T40" s="65"/>
      <c r="U40" s="67">
        <f t="shared" si="2"/>
        <v>0</v>
      </c>
      <c r="V40" s="65"/>
      <c r="W40" s="65"/>
      <c r="X40" s="65"/>
      <c r="Y40" s="68">
        <f t="shared" si="8"/>
        <v>0</v>
      </c>
      <c r="Z40" s="65"/>
      <c r="AA40" s="65"/>
      <c r="AB40" s="65"/>
      <c r="AC40" s="65"/>
      <c r="AD40" s="65"/>
      <c r="AE40" s="69">
        <f t="shared" si="3"/>
        <v>0</v>
      </c>
      <c r="AF40" s="65"/>
      <c r="AG40" s="65"/>
      <c r="AH40" s="65"/>
      <c r="AI40" s="70">
        <f t="shared" si="4"/>
        <v>0</v>
      </c>
      <c r="AJ40" s="65"/>
      <c r="AK40" s="65"/>
      <c r="AL40" s="65"/>
      <c r="AM40" s="65"/>
      <c r="AN40" s="71">
        <f t="shared" si="5"/>
        <v>0</v>
      </c>
      <c r="AO40" s="65"/>
      <c r="AP40" s="65"/>
      <c r="AQ40" s="65"/>
      <c r="AR40" s="65"/>
      <c r="AS40" s="65"/>
      <c r="AT40" s="65"/>
      <c r="AU40" s="78">
        <f t="shared" si="6"/>
        <v>0</v>
      </c>
      <c r="AV40" s="79">
        <f t="shared" si="7"/>
        <v>0</v>
      </c>
    </row>
    <row r="41" ht="15.75" customHeight="1">
      <c r="A41" s="74">
        <v>34.0</v>
      </c>
      <c r="B41" s="60"/>
      <c r="C41" s="75" t="s">
        <v>45</v>
      </c>
      <c r="D41" s="65"/>
      <c r="E41" s="65"/>
      <c r="F41" s="63"/>
      <c r="G41" s="65"/>
      <c r="H41" s="65"/>
      <c r="I41" s="65"/>
      <c r="J41" s="65"/>
      <c r="K41" s="65"/>
      <c r="L41" s="65"/>
      <c r="M41" s="65"/>
      <c r="N41" s="65"/>
      <c r="O41" s="82"/>
      <c r="P41" s="83"/>
      <c r="Q41" s="82"/>
      <c r="R41" s="66">
        <f t="shared" si="1"/>
        <v>0</v>
      </c>
      <c r="S41" s="65"/>
      <c r="T41" s="65"/>
      <c r="U41" s="67">
        <f t="shared" si="2"/>
        <v>0</v>
      </c>
      <c r="V41" s="65"/>
      <c r="W41" s="65"/>
      <c r="X41" s="65"/>
      <c r="Y41" s="68">
        <f t="shared" si="8"/>
        <v>0</v>
      </c>
      <c r="Z41" s="65"/>
      <c r="AA41" s="65"/>
      <c r="AB41" s="65"/>
      <c r="AC41" s="65"/>
      <c r="AD41" s="65"/>
      <c r="AE41" s="69">
        <f t="shared" si="3"/>
        <v>0</v>
      </c>
      <c r="AF41" s="65"/>
      <c r="AG41" s="65"/>
      <c r="AH41" s="65"/>
      <c r="AI41" s="70">
        <f t="shared" si="4"/>
        <v>0</v>
      </c>
      <c r="AJ41" s="65"/>
      <c r="AK41" s="65"/>
      <c r="AL41" s="65"/>
      <c r="AM41" s="65"/>
      <c r="AN41" s="71">
        <f t="shared" si="5"/>
        <v>0</v>
      </c>
      <c r="AO41" s="65"/>
      <c r="AP41" s="65"/>
      <c r="AQ41" s="65"/>
      <c r="AR41" s="65"/>
      <c r="AS41" s="65"/>
      <c r="AT41" s="65"/>
      <c r="AU41" s="78">
        <f t="shared" si="6"/>
        <v>0</v>
      </c>
      <c r="AV41" s="79">
        <f t="shared" si="7"/>
        <v>0</v>
      </c>
    </row>
    <row r="42" ht="15.75" customHeight="1">
      <c r="A42" s="74">
        <v>35.0</v>
      </c>
      <c r="B42" s="60"/>
      <c r="C42" s="75" t="s">
        <v>45</v>
      </c>
      <c r="D42" s="65"/>
      <c r="E42" s="65"/>
      <c r="F42" s="63"/>
      <c r="G42" s="65"/>
      <c r="H42" s="65"/>
      <c r="I42" s="65"/>
      <c r="J42" s="65"/>
      <c r="K42" s="65"/>
      <c r="L42" s="65"/>
      <c r="M42" s="65"/>
      <c r="N42" s="65"/>
      <c r="O42" s="82"/>
      <c r="P42" s="83"/>
      <c r="Q42" s="82"/>
      <c r="R42" s="66">
        <f t="shared" si="1"/>
        <v>0</v>
      </c>
      <c r="S42" s="65"/>
      <c r="T42" s="65"/>
      <c r="U42" s="67">
        <f t="shared" si="2"/>
        <v>0</v>
      </c>
      <c r="V42" s="65"/>
      <c r="W42" s="65"/>
      <c r="X42" s="65"/>
      <c r="Y42" s="68">
        <f t="shared" si="8"/>
        <v>0</v>
      </c>
      <c r="Z42" s="65"/>
      <c r="AA42" s="65"/>
      <c r="AB42" s="65"/>
      <c r="AC42" s="65"/>
      <c r="AD42" s="65"/>
      <c r="AE42" s="69">
        <f t="shared" si="3"/>
        <v>0</v>
      </c>
      <c r="AF42" s="65"/>
      <c r="AG42" s="65"/>
      <c r="AH42" s="65"/>
      <c r="AI42" s="70">
        <f t="shared" si="4"/>
        <v>0</v>
      </c>
      <c r="AJ42" s="65"/>
      <c r="AK42" s="65"/>
      <c r="AL42" s="65"/>
      <c r="AM42" s="65"/>
      <c r="AN42" s="71">
        <f t="shared" si="5"/>
        <v>0</v>
      </c>
      <c r="AO42" s="65"/>
      <c r="AP42" s="65"/>
      <c r="AQ42" s="65"/>
      <c r="AR42" s="65"/>
      <c r="AS42" s="65"/>
      <c r="AT42" s="65"/>
      <c r="AU42" s="78">
        <f t="shared" si="6"/>
        <v>0</v>
      </c>
      <c r="AV42" s="79">
        <f t="shared" si="7"/>
        <v>0</v>
      </c>
    </row>
    <row r="43" ht="15.75" customHeight="1">
      <c r="A43" s="74">
        <v>36.0</v>
      </c>
      <c r="B43" s="60"/>
      <c r="C43" s="75" t="s">
        <v>45</v>
      </c>
      <c r="D43" s="65"/>
      <c r="E43" s="65"/>
      <c r="F43" s="63"/>
      <c r="G43" s="65"/>
      <c r="H43" s="65"/>
      <c r="I43" s="65"/>
      <c r="J43" s="65"/>
      <c r="K43" s="65"/>
      <c r="L43" s="65"/>
      <c r="M43" s="65"/>
      <c r="N43" s="65"/>
      <c r="O43" s="82"/>
      <c r="P43" s="83"/>
      <c r="Q43" s="82"/>
      <c r="R43" s="66">
        <f t="shared" si="1"/>
        <v>0</v>
      </c>
      <c r="S43" s="65"/>
      <c r="T43" s="65"/>
      <c r="U43" s="67">
        <f t="shared" si="2"/>
        <v>0</v>
      </c>
      <c r="V43" s="65"/>
      <c r="W43" s="65"/>
      <c r="X43" s="65"/>
      <c r="Y43" s="68">
        <f t="shared" si="8"/>
        <v>0</v>
      </c>
      <c r="Z43" s="65"/>
      <c r="AA43" s="65"/>
      <c r="AB43" s="65"/>
      <c r="AC43" s="65"/>
      <c r="AD43" s="65"/>
      <c r="AE43" s="69">
        <f t="shared" si="3"/>
        <v>0</v>
      </c>
      <c r="AF43" s="65"/>
      <c r="AG43" s="65"/>
      <c r="AH43" s="65"/>
      <c r="AI43" s="70">
        <f t="shared" si="4"/>
        <v>0</v>
      </c>
      <c r="AJ43" s="65"/>
      <c r="AK43" s="65"/>
      <c r="AL43" s="65"/>
      <c r="AM43" s="65"/>
      <c r="AN43" s="71">
        <f t="shared" si="5"/>
        <v>0</v>
      </c>
      <c r="AO43" s="65"/>
      <c r="AP43" s="65"/>
      <c r="AQ43" s="65"/>
      <c r="AR43" s="65"/>
      <c r="AS43" s="65"/>
      <c r="AT43" s="65"/>
      <c r="AU43" s="78">
        <f t="shared" si="6"/>
        <v>0</v>
      </c>
      <c r="AV43" s="79">
        <f t="shared" si="7"/>
        <v>0</v>
      </c>
    </row>
    <row r="44" ht="15.75" customHeight="1">
      <c r="A44" s="74">
        <v>37.0</v>
      </c>
      <c r="B44" s="60"/>
      <c r="C44" s="75" t="s">
        <v>45</v>
      </c>
      <c r="D44" s="65"/>
      <c r="E44" s="65"/>
      <c r="F44" s="63"/>
      <c r="G44" s="65"/>
      <c r="H44" s="65"/>
      <c r="I44" s="65"/>
      <c r="J44" s="65"/>
      <c r="K44" s="65"/>
      <c r="L44" s="65"/>
      <c r="M44" s="65"/>
      <c r="N44" s="65"/>
      <c r="O44" s="82"/>
      <c r="P44" s="83"/>
      <c r="Q44" s="82"/>
      <c r="R44" s="66">
        <f t="shared" si="1"/>
        <v>0</v>
      </c>
      <c r="S44" s="65"/>
      <c r="T44" s="65"/>
      <c r="U44" s="67">
        <f t="shared" si="2"/>
        <v>0</v>
      </c>
      <c r="V44" s="65"/>
      <c r="W44" s="65"/>
      <c r="X44" s="65"/>
      <c r="Y44" s="68">
        <f t="shared" si="8"/>
        <v>0</v>
      </c>
      <c r="Z44" s="65"/>
      <c r="AA44" s="65"/>
      <c r="AB44" s="65"/>
      <c r="AC44" s="65"/>
      <c r="AD44" s="65"/>
      <c r="AE44" s="69">
        <f t="shared" si="3"/>
        <v>0</v>
      </c>
      <c r="AF44" s="65"/>
      <c r="AG44" s="65"/>
      <c r="AH44" s="65"/>
      <c r="AI44" s="70">
        <f t="shared" si="4"/>
        <v>0</v>
      </c>
      <c r="AJ44" s="65"/>
      <c r="AK44" s="65"/>
      <c r="AL44" s="65"/>
      <c r="AM44" s="65"/>
      <c r="AN44" s="71">
        <f t="shared" si="5"/>
        <v>0</v>
      </c>
      <c r="AO44" s="65"/>
      <c r="AP44" s="65"/>
      <c r="AQ44" s="65"/>
      <c r="AR44" s="65"/>
      <c r="AS44" s="65"/>
      <c r="AT44" s="65"/>
      <c r="AU44" s="78">
        <f t="shared" si="6"/>
        <v>0</v>
      </c>
      <c r="AV44" s="79">
        <f t="shared" si="7"/>
        <v>0</v>
      </c>
    </row>
    <row r="45" ht="15.75" customHeight="1">
      <c r="A45" s="84">
        <v>38.0</v>
      </c>
      <c r="B45" s="60"/>
      <c r="C45" s="75" t="s">
        <v>45</v>
      </c>
      <c r="D45" s="65"/>
      <c r="E45" s="65"/>
      <c r="F45" s="63"/>
      <c r="G45" s="65"/>
      <c r="H45" s="65"/>
      <c r="I45" s="65"/>
      <c r="J45" s="65"/>
      <c r="K45" s="65"/>
      <c r="L45" s="65"/>
      <c r="M45" s="65"/>
      <c r="N45" s="65"/>
      <c r="O45" s="82"/>
      <c r="P45" s="83"/>
      <c r="Q45" s="82"/>
      <c r="R45" s="66">
        <f t="shared" si="1"/>
        <v>0</v>
      </c>
      <c r="S45" s="65"/>
      <c r="T45" s="65"/>
      <c r="U45" s="67">
        <f t="shared" si="2"/>
        <v>0</v>
      </c>
      <c r="V45" s="65"/>
      <c r="W45" s="65"/>
      <c r="X45" s="65"/>
      <c r="Y45" s="68">
        <f t="shared" si="8"/>
        <v>0</v>
      </c>
      <c r="Z45" s="65"/>
      <c r="AA45" s="65"/>
      <c r="AB45" s="65"/>
      <c r="AC45" s="65"/>
      <c r="AD45" s="65"/>
      <c r="AE45" s="69">
        <f t="shared" si="3"/>
        <v>0</v>
      </c>
      <c r="AF45" s="65"/>
      <c r="AG45" s="65"/>
      <c r="AH45" s="65"/>
      <c r="AI45" s="70">
        <f t="shared" si="4"/>
        <v>0</v>
      </c>
      <c r="AJ45" s="65"/>
      <c r="AK45" s="65"/>
      <c r="AL45" s="65"/>
      <c r="AM45" s="65"/>
      <c r="AN45" s="71">
        <f t="shared" si="5"/>
        <v>0</v>
      </c>
      <c r="AO45" s="65"/>
      <c r="AP45" s="65"/>
      <c r="AQ45" s="65"/>
      <c r="AR45" s="65"/>
      <c r="AS45" s="65"/>
      <c r="AT45" s="65"/>
      <c r="AU45" s="78">
        <f t="shared" si="6"/>
        <v>0</v>
      </c>
      <c r="AV45" s="85">
        <f t="shared" si="7"/>
        <v>0</v>
      </c>
    </row>
    <row r="46" ht="15.75" customHeight="1">
      <c r="A46" s="86">
        <v>39.0</v>
      </c>
      <c r="B46" s="60"/>
      <c r="C46" s="87" t="s">
        <v>45</v>
      </c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3"/>
      <c r="P46" s="83"/>
      <c r="Q46" s="83"/>
      <c r="R46" s="66">
        <f t="shared" si="1"/>
        <v>0</v>
      </c>
      <c r="S46" s="88"/>
      <c r="T46" s="88"/>
      <c r="U46" s="67">
        <f t="shared" ref="U46:U49" si="9">SUM(S46:T46)/2</f>
        <v>0</v>
      </c>
      <c r="V46" s="88"/>
      <c r="W46" s="88"/>
      <c r="X46" s="88"/>
      <c r="Y46" s="89">
        <v>6.0</v>
      </c>
      <c r="Z46" s="88"/>
      <c r="AA46" s="88"/>
      <c r="AB46" s="88"/>
      <c r="AC46" s="88"/>
      <c r="AD46" s="88"/>
      <c r="AE46" s="69">
        <f t="shared" si="3"/>
        <v>0</v>
      </c>
      <c r="AF46" s="88"/>
      <c r="AG46" s="88"/>
      <c r="AH46" s="88"/>
      <c r="AI46" s="70">
        <f t="shared" si="4"/>
        <v>0</v>
      </c>
      <c r="AJ46" s="88"/>
      <c r="AK46" s="88"/>
      <c r="AL46" s="88"/>
      <c r="AM46" s="88"/>
      <c r="AN46" s="71">
        <f t="shared" si="5"/>
        <v>0</v>
      </c>
      <c r="AO46" s="88"/>
      <c r="AP46" s="88"/>
      <c r="AQ46" s="88"/>
      <c r="AR46" s="88"/>
      <c r="AS46" s="88"/>
      <c r="AT46" s="88"/>
      <c r="AU46" s="78">
        <f t="shared" si="6"/>
        <v>0</v>
      </c>
      <c r="AV46" s="90">
        <v>6.0</v>
      </c>
    </row>
    <row r="47" ht="15.75" customHeight="1">
      <c r="A47" s="86">
        <v>40.0</v>
      </c>
      <c r="B47" s="60"/>
      <c r="C47" s="87" t="s">
        <v>44</v>
      </c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3"/>
      <c r="P47" s="83"/>
      <c r="Q47" s="83"/>
      <c r="R47" s="66">
        <f t="shared" si="1"/>
        <v>0</v>
      </c>
      <c r="S47" s="88"/>
      <c r="T47" s="88"/>
      <c r="U47" s="67">
        <f t="shared" si="9"/>
        <v>0</v>
      </c>
      <c r="V47" s="88"/>
      <c r="W47" s="88"/>
      <c r="X47" s="88"/>
      <c r="Y47" s="89">
        <v>6.0</v>
      </c>
      <c r="Z47" s="88"/>
      <c r="AA47" s="88"/>
      <c r="AB47" s="88"/>
      <c r="AC47" s="88"/>
      <c r="AD47" s="88"/>
      <c r="AE47" s="69">
        <f t="shared" si="3"/>
        <v>0</v>
      </c>
      <c r="AF47" s="88"/>
      <c r="AG47" s="88"/>
      <c r="AH47" s="88"/>
      <c r="AI47" s="70">
        <f t="shared" si="4"/>
        <v>0</v>
      </c>
      <c r="AJ47" s="88"/>
      <c r="AK47" s="88"/>
      <c r="AL47" s="88"/>
      <c r="AM47" s="88"/>
      <c r="AN47" s="71">
        <f t="shared" si="5"/>
        <v>0</v>
      </c>
      <c r="AO47" s="88"/>
      <c r="AP47" s="88"/>
      <c r="AQ47" s="88"/>
      <c r="AR47" s="88"/>
      <c r="AS47" s="88"/>
      <c r="AT47" s="88"/>
      <c r="AU47" s="78">
        <f t="shared" si="6"/>
        <v>0</v>
      </c>
      <c r="AV47" s="90">
        <v>6.0</v>
      </c>
    </row>
    <row r="48" ht="15.75" customHeight="1">
      <c r="A48" s="86">
        <v>41.0</v>
      </c>
      <c r="B48" s="60"/>
      <c r="C48" s="87" t="s">
        <v>44</v>
      </c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3"/>
      <c r="P48" s="83"/>
      <c r="Q48" s="83"/>
      <c r="R48" s="66">
        <f t="shared" si="1"/>
        <v>0</v>
      </c>
      <c r="S48" s="88"/>
      <c r="T48" s="88"/>
      <c r="U48" s="67">
        <f t="shared" si="9"/>
        <v>0</v>
      </c>
      <c r="V48" s="88"/>
      <c r="W48" s="88"/>
      <c r="X48" s="88"/>
      <c r="Y48" s="89">
        <v>6.0</v>
      </c>
      <c r="Z48" s="88"/>
      <c r="AA48" s="88"/>
      <c r="AB48" s="88"/>
      <c r="AC48" s="88"/>
      <c r="AD48" s="88"/>
      <c r="AE48" s="69">
        <f t="shared" si="3"/>
        <v>0</v>
      </c>
      <c r="AF48" s="88"/>
      <c r="AG48" s="88"/>
      <c r="AH48" s="88"/>
      <c r="AI48" s="70">
        <f t="shared" si="4"/>
        <v>0</v>
      </c>
      <c r="AJ48" s="88"/>
      <c r="AK48" s="88"/>
      <c r="AL48" s="88"/>
      <c r="AM48" s="88"/>
      <c r="AN48" s="71">
        <f t="shared" si="5"/>
        <v>0</v>
      </c>
      <c r="AO48" s="88"/>
      <c r="AP48" s="88"/>
      <c r="AQ48" s="88"/>
      <c r="AR48" s="88"/>
      <c r="AS48" s="88"/>
      <c r="AT48" s="88"/>
      <c r="AU48" s="78">
        <f t="shared" si="6"/>
        <v>0</v>
      </c>
      <c r="AV48" s="90">
        <v>6.0</v>
      </c>
    </row>
    <row r="49" ht="15.75" customHeight="1">
      <c r="A49" s="86">
        <v>42.0</v>
      </c>
      <c r="B49" s="60"/>
      <c r="C49" s="87" t="s">
        <v>44</v>
      </c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3"/>
      <c r="P49" s="83"/>
      <c r="Q49" s="83"/>
      <c r="R49" s="66">
        <f t="shared" si="1"/>
        <v>0</v>
      </c>
      <c r="S49" s="88"/>
      <c r="T49" s="88"/>
      <c r="U49" s="67">
        <f t="shared" si="9"/>
        <v>0</v>
      </c>
      <c r="V49" s="88"/>
      <c r="W49" s="88"/>
      <c r="X49" s="88"/>
      <c r="Y49" s="89">
        <v>4.0</v>
      </c>
      <c r="Z49" s="88"/>
      <c r="AA49" s="88"/>
      <c r="AB49" s="88"/>
      <c r="AC49" s="88"/>
      <c r="AD49" s="88"/>
      <c r="AE49" s="69">
        <f t="shared" si="3"/>
        <v>0</v>
      </c>
      <c r="AF49" s="88"/>
      <c r="AG49" s="88"/>
      <c r="AH49" s="88"/>
      <c r="AI49" s="70">
        <f t="shared" si="4"/>
        <v>0</v>
      </c>
      <c r="AJ49" s="88"/>
      <c r="AK49" s="88"/>
      <c r="AL49" s="88"/>
      <c r="AM49" s="88"/>
      <c r="AN49" s="71">
        <f t="shared" si="5"/>
        <v>0</v>
      </c>
      <c r="AO49" s="88"/>
      <c r="AP49" s="88"/>
      <c r="AQ49" s="88"/>
      <c r="AR49" s="88"/>
      <c r="AS49" s="88"/>
      <c r="AT49" s="88"/>
      <c r="AU49" s="78">
        <f t="shared" si="6"/>
        <v>0</v>
      </c>
      <c r="AV49" s="90">
        <v>4.0</v>
      </c>
    </row>
    <row r="50" ht="15.75" customHeight="1">
      <c r="G50" s="91"/>
      <c r="O50" s="92"/>
      <c r="P50" s="92"/>
      <c r="Q50" s="92"/>
      <c r="AV50" s="9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6:B7"/>
    <mergeCell ref="C6:C7"/>
    <mergeCell ref="D6:R6"/>
    <mergeCell ref="S6:U6"/>
    <mergeCell ref="V6:Y6"/>
    <mergeCell ref="Z6:AE6"/>
    <mergeCell ref="AF6:AI6"/>
    <mergeCell ref="AJ6:AN6"/>
    <mergeCell ref="AO6:AU6"/>
    <mergeCell ref="AV6:AV7"/>
    <mergeCell ref="A1:AV1"/>
    <mergeCell ref="C3:P3"/>
    <mergeCell ref="Q3:U3"/>
    <mergeCell ref="V3:AE3"/>
    <mergeCell ref="C4:P4"/>
    <mergeCell ref="A6:A7"/>
    <mergeCell ref="V4:AL4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0"/>
    <col customWidth="1" min="2" max="2" width="44.56"/>
    <col customWidth="1" min="3" max="3" width="3.78"/>
    <col customWidth="1" min="4" max="4" width="3.44"/>
    <col customWidth="1" min="5" max="6" width="3.67"/>
    <col customWidth="1" min="7" max="8" width="3.44"/>
    <col customWidth="1" min="9" max="9" width="3.67"/>
    <col customWidth="1" min="10" max="10" width="3.44"/>
    <col customWidth="1" min="11" max="11" width="3.67"/>
    <col customWidth="1" min="12" max="12" width="3.78"/>
    <col customWidth="1" min="13" max="14" width="4.0"/>
    <col customWidth="1" min="15" max="17" width="3.78"/>
    <col customWidth="1" min="18" max="18" width="3.44"/>
    <col customWidth="1" min="19" max="20" width="3.78"/>
    <col customWidth="1" min="21" max="22" width="3.67"/>
    <col customWidth="1" min="23" max="24" width="3.78"/>
    <col customWidth="1" min="25" max="25" width="3.44"/>
    <col customWidth="1" min="26" max="26" width="3.33"/>
    <col customWidth="1" min="27" max="27" width="3.44"/>
    <col customWidth="1" min="28" max="28" width="3.67"/>
    <col customWidth="1" min="29" max="29" width="3.44"/>
    <col customWidth="1" min="30" max="30" width="4.0"/>
    <col customWidth="1" min="31" max="31" width="3.78"/>
    <col customWidth="1" min="32" max="32" width="3.67"/>
    <col customWidth="1" min="33" max="35" width="3.44"/>
    <col customWidth="1" min="36" max="37" width="3.67"/>
    <col customWidth="1" min="38" max="38" width="4.0"/>
    <col customWidth="1" min="39" max="40" width="3.78"/>
    <col customWidth="1" min="41" max="41" width="4.0"/>
    <col customWidth="1" min="42" max="42" width="4.11"/>
    <col customWidth="1" min="43" max="43" width="3.78"/>
    <col customWidth="1" min="44" max="44" width="3.67"/>
    <col customWidth="1" min="45" max="45" width="3.78"/>
    <col customWidth="1" min="46" max="46" width="4.0"/>
    <col customWidth="1" min="47" max="47" width="3.78"/>
    <col customWidth="1" min="48" max="48" width="5.1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3"/>
    </row>
    <row r="2" ht="15.75" customHeight="1">
      <c r="A2" s="4"/>
      <c r="B2" s="5"/>
      <c r="C2" s="5"/>
      <c r="D2" s="5"/>
      <c r="E2" s="5"/>
      <c r="F2" s="5"/>
      <c r="H2" s="6"/>
      <c r="L2" s="5"/>
      <c r="M2" s="5"/>
      <c r="N2" s="5"/>
      <c r="O2" s="5"/>
      <c r="P2" s="5"/>
      <c r="Q2" s="5"/>
      <c r="R2" s="5"/>
      <c r="S2" s="5"/>
      <c r="T2" s="5"/>
      <c r="U2" s="5"/>
      <c r="AV2" s="7"/>
    </row>
    <row r="3" ht="24.75" customHeight="1">
      <c r="A3" s="8"/>
      <c r="B3" s="9" t="s">
        <v>1</v>
      </c>
      <c r="C3" s="10" t="s">
        <v>2</v>
      </c>
      <c r="Q3" s="9" t="s">
        <v>3</v>
      </c>
      <c r="V3" s="11" t="s">
        <v>46</v>
      </c>
      <c r="AV3" s="7"/>
    </row>
    <row r="4" ht="23.25" customHeight="1">
      <c r="A4" s="12"/>
      <c r="B4" s="13" t="s">
        <v>5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7</v>
      </c>
      <c r="R4" s="13"/>
      <c r="S4" s="13"/>
      <c r="T4" s="13"/>
      <c r="U4" s="13"/>
      <c r="V4" s="16" t="s">
        <v>47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7"/>
      <c r="AP4" s="17"/>
      <c r="AQ4" s="17"/>
      <c r="AR4" s="17"/>
      <c r="AS4" s="17"/>
      <c r="AT4" s="17"/>
      <c r="AU4" s="17"/>
      <c r="AV4" s="18"/>
    </row>
    <row r="5" ht="15.75" customHeight="1">
      <c r="A5" s="19"/>
      <c r="B5" s="19"/>
      <c r="C5" s="19"/>
    </row>
    <row r="6" ht="16.5" customHeight="1">
      <c r="A6" s="93" t="s">
        <v>9</v>
      </c>
      <c r="B6" s="93" t="s">
        <v>10</v>
      </c>
      <c r="C6" s="94" t="s">
        <v>11</v>
      </c>
      <c r="D6" s="95" t="s">
        <v>12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7"/>
      <c r="S6" s="98" t="s">
        <v>13</v>
      </c>
      <c r="T6" s="96"/>
      <c r="U6" s="97"/>
      <c r="V6" s="99" t="s">
        <v>14</v>
      </c>
      <c r="W6" s="96"/>
      <c r="X6" s="96"/>
      <c r="Y6" s="97"/>
      <c r="Z6" s="100" t="s">
        <v>15</v>
      </c>
      <c r="AA6" s="96"/>
      <c r="AB6" s="96"/>
      <c r="AC6" s="96"/>
      <c r="AD6" s="96"/>
      <c r="AE6" s="97"/>
      <c r="AF6" s="101" t="s">
        <v>16</v>
      </c>
      <c r="AG6" s="96"/>
      <c r="AH6" s="96"/>
      <c r="AI6" s="97"/>
      <c r="AJ6" s="102" t="s">
        <v>17</v>
      </c>
      <c r="AK6" s="96"/>
      <c r="AL6" s="96"/>
      <c r="AM6" s="96"/>
      <c r="AN6" s="97"/>
      <c r="AO6" s="103" t="s">
        <v>18</v>
      </c>
      <c r="AP6" s="96"/>
      <c r="AQ6" s="96"/>
      <c r="AR6" s="96"/>
      <c r="AS6" s="96"/>
      <c r="AT6" s="96"/>
      <c r="AU6" s="97"/>
      <c r="AV6" s="104" t="s">
        <v>19</v>
      </c>
    </row>
    <row r="7" ht="56.25" customHeight="1">
      <c r="A7" s="105"/>
      <c r="B7" s="105"/>
      <c r="C7" s="105"/>
      <c r="D7" s="106">
        <v>1.1</v>
      </c>
      <c r="E7" s="106">
        <v>1.2</v>
      </c>
      <c r="F7" s="106">
        <v>1.3</v>
      </c>
      <c r="G7" s="106">
        <v>1.4</v>
      </c>
      <c r="H7" s="106">
        <v>1.5</v>
      </c>
      <c r="I7" s="106">
        <v>1.6</v>
      </c>
      <c r="J7" s="106">
        <v>1.7</v>
      </c>
      <c r="K7" s="106">
        <v>1.8</v>
      </c>
      <c r="L7" s="106">
        <v>1.9</v>
      </c>
      <c r="M7" s="106">
        <v>110.0</v>
      </c>
      <c r="N7" s="106">
        <v>1.11</v>
      </c>
      <c r="O7" s="106">
        <v>1.12</v>
      </c>
      <c r="P7" s="106">
        <v>1.13</v>
      </c>
      <c r="Q7" s="106">
        <v>1.14</v>
      </c>
      <c r="R7" s="106" t="s">
        <v>20</v>
      </c>
      <c r="S7" s="107" t="s">
        <v>21</v>
      </c>
      <c r="T7" s="107" t="s">
        <v>22</v>
      </c>
      <c r="U7" s="107" t="s">
        <v>20</v>
      </c>
      <c r="V7" s="108" t="s">
        <v>23</v>
      </c>
      <c r="W7" s="108" t="s">
        <v>24</v>
      </c>
      <c r="X7" s="109" t="s">
        <v>25</v>
      </c>
      <c r="Y7" s="108" t="s">
        <v>20</v>
      </c>
      <c r="Z7" s="110" t="s">
        <v>26</v>
      </c>
      <c r="AA7" s="110" t="s">
        <v>27</v>
      </c>
      <c r="AB7" s="110" t="s">
        <v>28</v>
      </c>
      <c r="AC7" s="110" t="s">
        <v>29</v>
      </c>
      <c r="AD7" s="110" t="s">
        <v>30</v>
      </c>
      <c r="AE7" s="110" t="s">
        <v>20</v>
      </c>
      <c r="AF7" s="111" t="s">
        <v>31</v>
      </c>
      <c r="AG7" s="111" t="s">
        <v>32</v>
      </c>
      <c r="AH7" s="111" t="s">
        <v>33</v>
      </c>
      <c r="AI7" s="112" t="s">
        <v>20</v>
      </c>
      <c r="AJ7" s="113" t="s">
        <v>34</v>
      </c>
      <c r="AK7" s="113" t="s">
        <v>35</v>
      </c>
      <c r="AL7" s="113" t="s">
        <v>36</v>
      </c>
      <c r="AM7" s="113" t="s">
        <v>37</v>
      </c>
      <c r="AN7" s="114" t="s">
        <v>20</v>
      </c>
      <c r="AO7" s="115" t="s">
        <v>38</v>
      </c>
      <c r="AP7" s="115" t="s">
        <v>39</v>
      </c>
      <c r="AQ7" s="115" t="s">
        <v>40</v>
      </c>
      <c r="AR7" s="115" t="s">
        <v>41</v>
      </c>
      <c r="AS7" s="115" t="s">
        <v>42</v>
      </c>
      <c r="AT7" s="115" t="s">
        <v>43</v>
      </c>
      <c r="AU7" s="116" t="s">
        <v>20</v>
      </c>
      <c r="AV7" s="105"/>
    </row>
    <row r="8" ht="15.75" customHeight="1">
      <c r="A8" s="117">
        <v>1.0</v>
      </c>
      <c r="B8" s="118"/>
      <c r="C8" s="77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20">
        <f t="shared" ref="R8:R51" si="1">SUM(P8:Q8)/2</f>
        <v>0</v>
      </c>
      <c r="S8" s="121"/>
      <c r="T8" s="121"/>
      <c r="U8" s="122">
        <f t="shared" ref="U8:U51" si="2">SUM(R8:T8)/3</f>
        <v>0</v>
      </c>
      <c r="V8" s="121"/>
      <c r="W8" s="121"/>
      <c r="X8" s="121"/>
      <c r="Y8" s="123">
        <v>0.0</v>
      </c>
      <c r="Z8" s="121"/>
      <c r="AA8" s="121"/>
      <c r="AB8" s="121"/>
      <c r="AC8" s="121"/>
      <c r="AD8" s="121"/>
      <c r="AE8" s="124">
        <f t="shared" ref="AE8:AE28" si="3">SUM(AA8:AD8)/4</f>
        <v>0</v>
      </c>
      <c r="AF8" s="121"/>
      <c r="AG8" s="121"/>
      <c r="AH8" s="121"/>
      <c r="AI8" s="125">
        <f t="shared" ref="AI8:AI28" si="4">SUM(AE8:AH8)/4</f>
        <v>0</v>
      </c>
      <c r="AJ8" s="119"/>
      <c r="AK8" s="119"/>
      <c r="AL8" s="119"/>
      <c r="AM8" s="119"/>
      <c r="AN8" s="126">
        <f t="shared" ref="AN8:AN51" si="5">SUM(AJ8:AM8)/4</f>
        <v>0</v>
      </c>
      <c r="AO8" s="77"/>
      <c r="AP8" s="77"/>
      <c r="AQ8" s="77"/>
      <c r="AR8" s="77"/>
      <c r="AS8" s="77"/>
      <c r="AT8" s="77"/>
      <c r="AU8" s="127">
        <f t="shared" ref="AU8:AU51" si="6">SUM(AQ8:AT8)/4</f>
        <v>0</v>
      </c>
      <c r="AV8" s="128">
        <f t="shared" ref="AV8:AV10" si="7">SUM(AU8,AQ8,AL8,AH8,AD8,AA8,Z8,Y8,X8,U8)/10</f>
        <v>0</v>
      </c>
    </row>
    <row r="9" ht="15.75" customHeight="1">
      <c r="A9" s="74">
        <v>2.0</v>
      </c>
      <c r="B9" s="118"/>
      <c r="C9" s="65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66">
        <f t="shared" si="1"/>
        <v>0</v>
      </c>
      <c r="S9" s="121"/>
      <c r="T9" s="121"/>
      <c r="U9" s="67">
        <f t="shared" si="2"/>
        <v>0</v>
      </c>
      <c r="V9" s="121"/>
      <c r="W9" s="121"/>
      <c r="X9" s="121"/>
      <c r="Y9" s="68">
        <f t="shared" ref="Y9:Y51" si="8">SUM(V9:X9)/3</f>
        <v>0</v>
      </c>
      <c r="Z9" s="121"/>
      <c r="AA9" s="121"/>
      <c r="AB9" s="121"/>
      <c r="AC9" s="121"/>
      <c r="AD9" s="121"/>
      <c r="AE9" s="69">
        <f t="shared" si="3"/>
        <v>0</v>
      </c>
      <c r="AF9" s="121"/>
      <c r="AG9" s="121"/>
      <c r="AH9" s="121"/>
      <c r="AI9" s="70">
        <f t="shared" si="4"/>
        <v>0</v>
      </c>
      <c r="AJ9" s="119"/>
      <c r="AK9" s="119"/>
      <c r="AL9" s="119"/>
      <c r="AM9" s="119"/>
      <c r="AN9" s="71">
        <f t="shared" si="5"/>
        <v>0</v>
      </c>
      <c r="AO9" s="77"/>
      <c r="AP9" s="77"/>
      <c r="AQ9" s="77"/>
      <c r="AR9" s="77"/>
      <c r="AS9" s="77"/>
      <c r="AT9" s="77"/>
      <c r="AU9" s="78">
        <f t="shared" si="6"/>
        <v>0</v>
      </c>
      <c r="AV9" s="79">
        <f t="shared" si="7"/>
        <v>0</v>
      </c>
    </row>
    <row r="10" ht="15.75" customHeight="1">
      <c r="A10" s="74">
        <v>3.0</v>
      </c>
      <c r="B10" s="118"/>
      <c r="C10" s="65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66">
        <f t="shared" si="1"/>
        <v>0</v>
      </c>
      <c r="S10" s="121"/>
      <c r="T10" s="121"/>
      <c r="U10" s="67">
        <f t="shared" si="2"/>
        <v>0</v>
      </c>
      <c r="V10" s="121"/>
      <c r="W10" s="121"/>
      <c r="X10" s="121"/>
      <c r="Y10" s="68">
        <f t="shared" si="8"/>
        <v>0</v>
      </c>
      <c r="Z10" s="121"/>
      <c r="AA10" s="121"/>
      <c r="AB10" s="121"/>
      <c r="AC10" s="121"/>
      <c r="AD10" s="121"/>
      <c r="AE10" s="69">
        <f t="shared" si="3"/>
        <v>0</v>
      </c>
      <c r="AF10" s="121"/>
      <c r="AG10" s="121"/>
      <c r="AH10" s="121"/>
      <c r="AI10" s="70">
        <f t="shared" si="4"/>
        <v>0</v>
      </c>
      <c r="AJ10" s="119"/>
      <c r="AK10" s="119"/>
      <c r="AL10" s="119"/>
      <c r="AM10" s="119"/>
      <c r="AN10" s="71">
        <f t="shared" si="5"/>
        <v>0</v>
      </c>
      <c r="AO10" s="77"/>
      <c r="AP10" s="77"/>
      <c r="AQ10" s="77"/>
      <c r="AR10" s="77"/>
      <c r="AS10" s="77"/>
      <c r="AT10" s="77"/>
      <c r="AU10" s="78">
        <f t="shared" si="6"/>
        <v>0</v>
      </c>
      <c r="AV10" s="79">
        <f t="shared" si="7"/>
        <v>0</v>
      </c>
    </row>
    <row r="11" ht="15.75" customHeight="1">
      <c r="A11" s="74">
        <v>4.0</v>
      </c>
      <c r="B11" s="118"/>
      <c r="C11" s="65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66">
        <f t="shared" si="1"/>
        <v>0</v>
      </c>
      <c r="S11" s="121"/>
      <c r="T11" s="121"/>
      <c r="U11" s="67">
        <f t="shared" si="2"/>
        <v>0</v>
      </c>
      <c r="V11" s="121"/>
      <c r="W11" s="121"/>
      <c r="X11" s="121"/>
      <c r="Y11" s="68">
        <f t="shared" si="8"/>
        <v>0</v>
      </c>
      <c r="Z11" s="121"/>
      <c r="AA11" s="121"/>
      <c r="AB11" s="121"/>
      <c r="AC11" s="121"/>
      <c r="AD11" s="121"/>
      <c r="AE11" s="69">
        <f t="shared" si="3"/>
        <v>0</v>
      </c>
      <c r="AF11" s="121"/>
      <c r="AG11" s="121"/>
      <c r="AH11" s="121"/>
      <c r="AI11" s="70">
        <f t="shared" si="4"/>
        <v>0</v>
      </c>
      <c r="AJ11" s="119"/>
      <c r="AK11" s="119"/>
      <c r="AL11" s="119"/>
      <c r="AM11" s="119"/>
      <c r="AN11" s="71">
        <f t="shared" si="5"/>
        <v>0</v>
      </c>
      <c r="AO11" s="77"/>
      <c r="AP11" s="77"/>
      <c r="AQ11" s="77"/>
      <c r="AR11" s="77"/>
      <c r="AS11" s="77"/>
      <c r="AT11" s="77"/>
      <c r="AU11" s="78">
        <f t="shared" si="6"/>
        <v>0</v>
      </c>
      <c r="AV11" s="79">
        <v>0.0</v>
      </c>
    </row>
    <row r="12" ht="15.75" customHeight="1">
      <c r="A12" s="74">
        <v>5.0</v>
      </c>
      <c r="B12" s="118"/>
      <c r="C12" s="65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66">
        <f t="shared" si="1"/>
        <v>0</v>
      </c>
      <c r="S12" s="121"/>
      <c r="T12" s="121"/>
      <c r="U12" s="67">
        <f t="shared" si="2"/>
        <v>0</v>
      </c>
      <c r="V12" s="121"/>
      <c r="W12" s="121"/>
      <c r="X12" s="121"/>
      <c r="Y12" s="68">
        <f t="shared" si="8"/>
        <v>0</v>
      </c>
      <c r="Z12" s="121"/>
      <c r="AA12" s="121"/>
      <c r="AB12" s="121"/>
      <c r="AC12" s="121"/>
      <c r="AD12" s="121"/>
      <c r="AE12" s="69">
        <f t="shared" si="3"/>
        <v>0</v>
      </c>
      <c r="AF12" s="121"/>
      <c r="AG12" s="121"/>
      <c r="AH12" s="121"/>
      <c r="AI12" s="70">
        <f t="shared" si="4"/>
        <v>0</v>
      </c>
      <c r="AJ12" s="119"/>
      <c r="AK12" s="119"/>
      <c r="AL12" s="119"/>
      <c r="AM12" s="119"/>
      <c r="AN12" s="71">
        <f t="shared" si="5"/>
        <v>0</v>
      </c>
      <c r="AO12" s="77"/>
      <c r="AP12" s="77"/>
      <c r="AQ12" s="77"/>
      <c r="AR12" s="77"/>
      <c r="AS12" s="77"/>
      <c r="AT12" s="77"/>
      <c r="AU12" s="78">
        <f t="shared" si="6"/>
        <v>0</v>
      </c>
      <c r="AV12" s="79">
        <f t="shared" ref="AV12:AV51" si="9">SUM(AU12,AQ12,AL12,AH12,AD12,AA12,Z12,Y12,X12,U12)/10</f>
        <v>0</v>
      </c>
    </row>
    <row r="13" ht="15.75" customHeight="1">
      <c r="A13" s="74">
        <v>6.0</v>
      </c>
      <c r="B13" s="118"/>
      <c r="C13" s="65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66">
        <f t="shared" si="1"/>
        <v>0</v>
      </c>
      <c r="S13" s="121"/>
      <c r="T13" s="121"/>
      <c r="U13" s="67">
        <f t="shared" si="2"/>
        <v>0</v>
      </c>
      <c r="V13" s="121"/>
      <c r="W13" s="121"/>
      <c r="X13" s="121"/>
      <c r="Y13" s="68">
        <f t="shared" si="8"/>
        <v>0</v>
      </c>
      <c r="Z13" s="121"/>
      <c r="AA13" s="121"/>
      <c r="AB13" s="121"/>
      <c r="AC13" s="121"/>
      <c r="AD13" s="121"/>
      <c r="AE13" s="69">
        <f t="shared" si="3"/>
        <v>0</v>
      </c>
      <c r="AF13" s="121"/>
      <c r="AG13" s="121"/>
      <c r="AH13" s="121"/>
      <c r="AI13" s="70">
        <f t="shared" si="4"/>
        <v>0</v>
      </c>
      <c r="AJ13" s="119"/>
      <c r="AK13" s="119"/>
      <c r="AL13" s="119"/>
      <c r="AM13" s="119"/>
      <c r="AN13" s="71">
        <f t="shared" si="5"/>
        <v>0</v>
      </c>
      <c r="AO13" s="77"/>
      <c r="AP13" s="77"/>
      <c r="AQ13" s="77"/>
      <c r="AR13" s="77"/>
      <c r="AS13" s="77"/>
      <c r="AT13" s="77"/>
      <c r="AU13" s="78">
        <f t="shared" si="6"/>
        <v>0</v>
      </c>
      <c r="AV13" s="79">
        <f t="shared" si="9"/>
        <v>0</v>
      </c>
    </row>
    <row r="14" ht="15.75" customHeight="1">
      <c r="A14" s="74">
        <v>7.0</v>
      </c>
      <c r="B14" s="118"/>
      <c r="C14" s="65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66">
        <f t="shared" si="1"/>
        <v>0</v>
      </c>
      <c r="S14" s="121"/>
      <c r="T14" s="121"/>
      <c r="U14" s="67">
        <f t="shared" si="2"/>
        <v>0</v>
      </c>
      <c r="V14" s="121"/>
      <c r="W14" s="121"/>
      <c r="X14" s="121"/>
      <c r="Y14" s="68">
        <f t="shared" si="8"/>
        <v>0</v>
      </c>
      <c r="Z14" s="121"/>
      <c r="AA14" s="121"/>
      <c r="AB14" s="121"/>
      <c r="AC14" s="121"/>
      <c r="AD14" s="121"/>
      <c r="AE14" s="69">
        <f t="shared" si="3"/>
        <v>0</v>
      </c>
      <c r="AF14" s="121"/>
      <c r="AG14" s="121"/>
      <c r="AH14" s="121"/>
      <c r="AI14" s="70">
        <f t="shared" si="4"/>
        <v>0</v>
      </c>
      <c r="AJ14" s="119"/>
      <c r="AK14" s="119"/>
      <c r="AL14" s="119"/>
      <c r="AM14" s="119"/>
      <c r="AN14" s="71">
        <f t="shared" si="5"/>
        <v>0</v>
      </c>
      <c r="AO14" s="77"/>
      <c r="AP14" s="77"/>
      <c r="AQ14" s="77"/>
      <c r="AR14" s="77"/>
      <c r="AS14" s="77"/>
      <c r="AT14" s="77"/>
      <c r="AU14" s="78">
        <f t="shared" si="6"/>
        <v>0</v>
      </c>
      <c r="AV14" s="79">
        <f t="shared" si="9"/>
        <v>0</v>
      </c>
    </row>
    <row r="15" ht="15.75" customHeight="1">
      <c r="A15" s="74">
        <v>8.0</v>
      </c>
      <c r="B15" s="118"/>
      <c r="C15" s="65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66">
        <f t="shared" si="1"/>
        <v>0</v>
      </c>
      <c r="S15" s="121"/>
      <c r="T15" s="121"/>
      <c r="U15" s="67">
        <f t="shared" si="2"/>
        <v>0</v>
      </c>
      <c r="V15" s="121"/>
      <c r="W15" s="121"/>
      <c r="X15" s="121"/>
      <c r="Y15" s="68">
        <f t="shared" si="8"/>
        <v>0</v>
      </c>
      <c r="Z15" s="121"/>
      <c r="AA15" s="121"/>
      <c r="AB15" s="121"/>
      <c r="AC15" s="121"/>
      <c r="AD15" s="121"/>
      <c r="AE15" s="69">
        <f t="shared" si="3"/>
        <v>0</v>
      </c>
      <c r="AF15" s="121"/>
      <c r="AG15" s="121"/>
      <c r="AH15" s="121"/>
      <c r="AI15" s="70">
        <f t="shared" si="4"/>
        <v>0</v>
      </c>
      <c r="AJ15" s="119"/>
      <c r="AK15" s="119"/>
      <c r="AL15" s="119"/>
      <c r="AM15" s="119"/>
      <c r="AN15" s="71">
        <f t="shared" si="5"/>
        <v>0</v>
      </c>
      <c r="AO15" s="77"/>
      <c r="AP15" s="77"/>
      <c r="AQ15" s="77"/>
      <c r="AR15" s="77"/>
      <c r="AS15" s="77"/>
      <c r="AT15" s="77"/>
      <c r="AU15" s="78">
        <f t="shared" si="6"/>
        <v>0</v>
      </c>
      <c r="AV15" s="79">
        <f t="shared" si="9"/>
        <v>0</v>
      </c>
    </row>
    <row r="16" ht="15.75" customHeight="1">
      <c r="A16" s="74">
        <v>9.0</v>
      </c>
      <c r="B16" s="118"/>
      <c r="C16" s="65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66">
        <f t="shared" si="1"/>
        <v>0</v>
      </c>
      <c r="S16" s="121"/>
      <c r="T16" s="121"/>
      <c r="U16" s="67">
        <f t="shared" si="2"/>
        <v>0</v>
      </c>
      <c r="V16" s="121"/>
      <c r="W16" s="121"/>
      <c r="X16" s="121"/>
      <c r="Y16" s="68">
        <f t="shared" si="8"/>
        <v>0</v>
      </c>
      <c r="Z16" s="121"/>
      <c r="AA16" s="121"/>
      <c r="AB16" s="121"/>
      <c r="AC16" s="121"/>
      <c r="AD16" s="121"/>
      <c r="AE16" s="69">
        <f t="shared" si="3"/>
        <v>0</v>
      </c>
      <c r="AF16" s="121"/>
      <c r="AG16" s="121"/>
      <c r="AH16" s="121"/>
      <c r="AI16" s="70">
        <f t="shared" si="4"/>
        <v>0</v>
      </c>
      <c r="AJ16" s="119"/>
      <c r="AK16" s="119"/>
      <c r="AL16" s="119"/>
      <c r="AM16" s="119"/>
      <c r="AN16" s="71">
        <f t="shared" si="5"/>
        <v>0</v>
      </c>
      <c r="AO16" s="77"/>
      <c r="AP16" s="77"/>
      <c r="AQ16" s="77"/>
      <c r="AR16" s="77"/>
      <c r="AS16" s="77"/>
      <c r="AT16" s="77"/>
      <c r="AU16" s="78">
        <f t="shared" si="6"/>
        <v>0</v>
      </c>
      <c r="AV16" s="79">
        <f t="shared" si="9"/>
        <v>0</v>
      </c>
    </row>
    <row r="17" ht="15.75" customHeight="1">
      <c r="A17" s="74">
        <v>10.0</v>
      </c>
      <c r="B17" s="118"/>
      <c r="C17" s="65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66">
        <f t="shared" si="1"/>
        <v>0</v>
      </c>
      <c r="S17" s="121"/>
      <c r="T17" s="121"/>
      <c r="U17" s="67">
        <f t="shared" si="2"/>
        <v>0</v>
      </c>
      <c r="V17" s="121"/>
      <c r="W17" s="121"/>
      <c r="X17" s="121"/>
      <c r="Y17" s="68">
        <f t="shared" si="8"/>
        <v>0</v>
      </c>
      <c r="Z17" s="121"/>
      <c r="AA17" s="121"/>
      <c r="AB17" s="121"/>
      <c r="AC17" s="121"/>
      <c r="AD17" s="121"/>
      <c r="AE17" s="69">
        <f t="shared" si="3"/>
        <v>0</v>
      </c>
      <c r="AF17" s="121"/>
      <c r="AG17" s="121"/>
      <c r="AH17" s="121"/>
      <c r="AI17" s="70">
        <f t="shared" si="4"/>
        <v>0</v>
      </c>
      <c r="AJ17" s="119"/>
      <c r="AK17" s="119"/>
      <c r="AL17" s="119"/>
      <c r="AM17" s="119"/>
      <c r="AN17" s="71">
        <f t="shared" si="5"/>
        <v>0</v>
      </c>
      <c r="AO17" s="77"/>
      <c r="AP17" s="77"/>
      <c r="AQ17" s="77"/>
      <c r="AR17" s="77"/>
      <c r="AS17" s="77"/>
      <c r="AT17" s="77"/>
      <c r="AU17" s="78">
        <f t="shared" si="6"/>
        <v>0</v>
      </c>
      <c r="AV17" s="79">
        <f t="shared" si="9"/>
        <v>0</v>
      </c>
    </row>
    <row r="18" ht="15.75" customHeight="1">
      <c r="A18" s="74">
        <v>11.0</v>
      </c>
      <c r="B18" s="129"/>
      <c r="C18" s="65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66">
        <f t="shared" si="1"/>
        <v>0</v>
      </c>
      <c r="S18" s="121"/>
      <c r="T18" s="121"/>
      <c r="U18" s="67">
        <f t="shared" si="2"/>
        <v>0</v>
      </c>
      <c r="V18" s="121"/>
      <c r="W18" s="121"/>
      <c r="X18" s="121"/>
      <c r="Y18" s="68">
        <f t="shared" si="8"/>
        <v>0</v>
      </c>
      <c r="Z18" s="121"/>
      <c r="AA18" s="121"/>
      <c r="AB18" s="121"/>
      <c r="AC18" s="121"/>
      <c r="AD18" s="121"/>
      <c r="AE18" s="69">
        <f t="shared" si="3"/>
        <v>0</v>
      </c>
      <c r="AF18" s="121"/>
      <c r="AG18" s="121"/>
      <c r="AH18" s="121"/>
      <c r="AI18" s="70">
        <f t="shared" si="4"/>
        <v>0</v>
      </c>
      <c r="AJ18" s="119"/>
      <c r="AK18" s="119"/>
      <c r="AL18" s="119"/>
      <c r="AM18" s="119"/>
      <c r="AN18" s="71">
        <f t="shared" si="5"/>
        <v>0</v>
      </c>
      <c r="AO18" s="77"/>
      <c r="AP18" s="77"/>
      <c r="AQ18" s="77"/>
      <c r="AR18" s="77"/>
      <c r="AS18" s="77"/>
      <c r="AT18" s="77"/>
      <c r="AU18" s="78">
        <f t="shared" si="6"/>
        <v>0</v>
      </c>
      <c r="AV18" s="79">
        <f t="shared" si="9"/>
        <v>0</v>
      </c>
    </row>
    <row r="19" ht="15.75" customHeight="1">
      <c r="A19" s="74">
        <v>12.0</v>
      </c>
      <c r="B19" s="129"/>
      <c r="C19" s="65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66">
        <f t="shared" si="1"/>
        <v>0</v>
      </c>
      <c r="S19" s="121"/>
      <c r="T19" s="121"/>
      <c r="U19" s="67">
        <f t="shared" si="2"/>
        <v>0</v>
      </c>
      <c r="V19" s="121"/>
      <c r="W19" s="121"/>
      <c r="X19" s="121"/>
      <c r="Y19" s="68">
        <f t="shared" si="8"/>
        <v>0</v>
      </c>
      <c r="Z19" s="121"/>
      <c r="AA19" s="121"/>
      <c r="AB19" s="121"/>
      <c r="AC19" s="121"/>
      <c r="AD19" s="121"/>
      <c r="AE19" s="69">
        <f t="shared" si="3"/>
        <v>0</v>
      </c>
      <c r="AF19" s="121"/>
      <c r="AG19" s="121"/>
      <c r="AH19" s="121"/>
      <c r="AI19" s="70">
        <f t="shared" si="4"/>
        <v>0</v>
      </c>
      <c r="AJ19" s="119"/>
      <c r="AK19" s="119"/>
      <c r="AL19" s="119"/>
      <c r="AM19" s="119"/>
      <c r="AN19" s="71">
        <f t="shared" si="5"/>
        <v>0</v>
      </c>
      <c r="AO19" s="77"/>
      <c r="AP19" s="77"/>
      <c r="AQ19" s="77"/>
      <c r="AR19" s="77"/>
      <c r="AS19" s="77"/>
      <c r="AT19" s="77"/>
      <c r="AU19" s="78">
        <f t="shared" si="6"/>
        <v>0</v>
      </c>
      <c r="AV19" s="79">
        <f t="shared" si="9"/>
        <v>0</v>
      </c>
    </row>
    <row r="20" ht="15.75" customHeight="1">
      <c r="A20" s="74">
        <v>13.0</v>
      </c>
      <c r="B20" s="118"/>
      <c r="C20" s="65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66">
        <f t="shared" si="1"/>
        <v>0</v>
      </c>
      <c r="S20" s="121"/>
      <c r="T20" s="121"/>
      <c r="U20" s="67">
        <f t="shared" si="2"/>
        <v>0</v>
      </c>
      <c r="V20" s="121"/>
      <c r="W20" s="121"/>
      <c r="X20" s="121"/>
      <c r="Y20" s="68">
        <f t="shared" si="8"/>
        <v>0</v>
      </c>
      <c r="Z20" s="121"/>
      <c r="AA20" s="121"/>
      <c r="AB20" s="121"/>
      <c r="AC20" s="121"/>
      <c r="AD20" s="121"/>
      <c r="AE20" s="69">
        <f t="shared" si="3"/>
        <v>0</v>
      </c>
      <c r="AF20" s="121"/>
      <c r="AG20" s="121"/>
      <c r="AH20" s="121"/>
      <c r="AI20" s="70">
        <f t="shared" si="4"/>
        <v>0</v>
      </c>
      <c r="AJ20" s="119"/>
      <c r="AK20" s="119"/>
      <c r="AL20" s="119"/>
      <c r="AM20" s="119"/>
      <c r="AN20" s="71">
        <f t="shared" si="5"/>
        <v>0</v>
      </c>
      <c r="AO20" s="77"/>
      <c r="AP20" s="77"/>
      <c r="AQ20" s="77"/>
      <c r="AR20" s="77"/>
      <c r="AS20" s="77"/>
      <c r="AT20" s="77"/>
      <c r="AU20" s="78">
        <f t="shared" si="6"/>
        <v>0</v>
      </c>
      <c r="AV20" s="79">
        <f t="shared" si="9"/>
        <v>0</v>
      </c>
    </row>
    <row r="21" ht="15.75" customHeight="1">
      <c r="A21" s="74">
        <v>14.0</v>
      </c>
      <c r="B21" s="118"/>
      <c r="C21" s="65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66">
        <f t="shared" si="1"/>
        <v>0</v>
      </c>
      <c r="S21" s="121"/>
      <c r="T21" s="121"/>
      <c r="U21" s="67">
        <f t="shared" si="2"/>
        <v>0</v>
      </c>
      <c r="V21" s="121"/>
      <c r="W21" s="121"/>
      <c r="X21" s="121"/>
      <c r="Y21" s="68">
        <f t="shared" si="8"/>
        <v>0</v>
      </c>
      <c r="Z21" s="121"/>
      <c r="AA21" s="121"/>
      <c r="AB21" s="121"/>
      <c r="AC21" s="121"/>
      <c r="AD21" s="121"/>
      <c r="AE21" s="69">
        <f t="shared" si="3"/>
        <v>0</v>
      </c>
      <c r="AF21" s="121"/>
      <c r="AG21" s="121"/>
      <c r="AH21" s="121"/>
      <c r="AI21" s="70">
        <f t="shared" si="4"/>
        <v>0</v>
      </c>
      <c r="AJ21" s="119"/>
      <c r="AK21" s="119"/>
      <c r="AL21" s="119"/>
      <c r="AM21" s="119"/>
      <c r="AN21" s="71">
        <f t="shared" si="5"/>
        <v>0</v>
      </c>
      <c r="AO21" s="77"/>
      <c r="AP21" s="77"/>
      <c r="AQ21" s="77"/>
      <c r="AR21" s="77"/>
      <c r="AS21" s="77"/>
      <c r="AT21" s="77"/>
      <c r="AU21" s="78">
        <f t="shared" si="6"/>
        <v>0</v>
      </c>
      <c r="AV21" s="79">
        <f t="shared" si="9"/>
        <v>0</v>
      </c>
    </row>
    <row r="22" ht="15.75" customHeight="1">
      <c r="A22" s="74">
        <v>15.0</v>
      </c>
      <c r="B22" s="118"/>
      <c r="C22" s="65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66">
        <f t="shared" si="1"/>
        <v>0</v>
      </c>
      <c r="S22" s="121"/>
      <c r="T22" s="121"/>
      <c r="U22" s="67">
        <f t="shared" si="2"/>
        <v>0</v>
      </c>
      <c r="V22" s="121"/>
      <c r="W22" s="121"/>
      <c r="X22" s="121"/>
      <c r="Y22" s="68">
        <f t="shared" si="8"/>
        <v>0</v>
      </c>
      <c r="Z22" s="121"/>
      <c r="AA22" s="121"/>
      <c r="AB22" s="121"/>
      <c r="AC22" s="121"/>
      <c r="AD22" s="121"/>
      <c r="AE22" s="69">
        <f t="shared" si="3"/>
        <v>0</v>
      </c>
      <c r="AF22" s="121"/>
      <c r="AG22" s="121"/>
      <c r="AH22" s="121"/>
      <c r="AI22" s="70">
        <f t="shared" si="4"/>
        <v>0</v>
      </c>
      <c r="AJ22" s="119"/>
      <c r="AK22" s="119"/>
      <c r="AL22" s="119"/>
      <c r="AM22" s="119"/>
      <c r="AN22" s="71">
        <f t="shared" si="5"/>
        <v>0</v>
      </c>
      <c r="AO22" s="77"/>
      <c r="AP22" s="77"/>
      <c r="AQ22" s="77"/>
      <c r="AR22" s="77"/>
      <c r="AS22" s="77"/>
      <c r="AT22" s="77"/>
      <c r="AU22" s="78">
        <f t="shared" si="6"/>
        <v>0</v>
      </c>
      <c r="AV22" s="79">
        <f t="shared" si="9"/>
        <v>0</v>
      </c>
    </row>
    <row r="23" ht="15.75" customHeight="1">
      <c r="A23" s="74">
        <v>16.0</v>
      </c>
      <c r="B23" s="118"/>
      <c r="C23" s="65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66">
        <f t="shared" si="1"/>
        <v>0</v>
      </c>
      <c r="S23" s="121"/>
      <c r="T23" s="121"/>
      <c r="U23" s="67">
        <f t="shared" si="2"/>
        <v>0</v>
      </c>
      <c r="V23" s="121"/>
      <c r="W23" s="121"/>
      <c r="X23" s="121"/>
      <c r="Y23" s="68">
        <f t="shared" si="8"/>
        <v>0</v>
      </c>
      <c r="Z23" s="121"/>
      <c r="AA23" s="121"/>
      <c r="AB23" s="121"/>
      <c r="AC23" s="121"/>
      <c r="AD23" s="121"/>
      <c r="AE23" s="69">
        <f t="shared" si="3"/>
        <v>0</v>
      </c>
      <c r="AF23" s="121"/>
      <c r="AG23" s="121"/>
      <c r="AH23" s="121"/>
      <c r="AI23" s="70">
        <f t="shared" si="4"/>
        <v>0</v>
      </c>
      <c r="AJ23" s="119"/>
      <c r="AK23" s="119"/>
      <c r="AL23" s="119"/>
      <c r="AM23" s="119"/>
      <c r="AN23" s="71">
        <f t="shared" si="5"/>
        <v>0</v>
      </c>
      <c r="AO23" s="77"/>
      <c r="AP23" s="77"/>
      <c r="AQ23" s="77"/>
      <c r="AR23" s="77"/>
      <c r="AS23" s="77"/>
      <c r="AT23" s="77"/>
      <c r="AU23" s="78">
        <f t="shared" si="6"/>
        <v>0</v>
      </c>
      <c r="AV23" s="79">
        <f t="shared" si="9"/>
        <v>0</v>
      </c>
    </row>
    <row r="24" ht="15.75" customHeight="1">
      <c r="A24" s="74">
        <v>17.0</v>
      </c>
      <c r="B24" s="118"/>
      <c r="C24" s="65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66">
        <f t="shared" si="1"/>
        <v>0</v>
      </c>
      <c r="S24" s="121"/>
      <c r="T24" s="121"/>
      <c r="U24" s="67">
        <f t="shared" si="2"/>
        <v>0</v>
      </c>
      <c r="V24" s="121"/>
      <c r="W24" s="121"/>
      <c r="X24" s="121"/>
      <c r="Y24" s="68">
        <f t="shared" si="8"/>
        <v>0</v>
      </c>
      <c r="Z24" s="121"/>
      <c r="AA24" s="121"/>
      <c r="AB24" s="121"/>
      <c r="AC24" s="121"/>
      <c r="AD24" s="121"/>
      <c r="AE24" s="69">
        <f t="shared" si="3"/>
        <v>0</v>
      </c>
      <c r="AF24" s="121"/>
      <c r="AG24" s="121"/>
      <c r="AH24" s="121"/>
      <c r="AI24" s="70">
        <f t="shared" si="4"/>
        <v>0</v>
      </c>
      <c r="AJ24" s="119"/>
      <c r="AK24" s="119"/>
      <c r="AL24" s="119"/>
      <c r="AM24" s="119"/>
      <c r="AN24" s="71">
        <f t="shared" si="5"/>
        <v>0</v>
      </c>
      <c r="AO24" s="77"/>
      <c r="AP24" s="77"/>
      <c r="AQ24" s="77"/>
      <c r="AR24" s="77"/>
      <c r="AS24" s="77"/>
      <c r="AT24" s="77"/>
      <c r="AU24" s="78">
        <f t="shared" si="6"/>
        <v>0</v>
      </c>
      <c r="AV24" s="79">
        <f t="shared" si="9"/>
        <v>0</v>
      </c>
    </row>
    <row r="25" ht="15.75" customHeight="1">
      <c r="A25" s="74">
        <v>18.0</v>
      </c>
      <c r="B25" s="118"/>
      <c r="C25" s="65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66">
        <f t="shared" si="1"/>
        <v>0</v>
      </c>
      <c r="S25" s="121"/>
      <c r="T25" s="121"/>
      <c r="U25" s="67">
        <f t="shared" si="2"/>
        <v>0</v>
      </c>
      <c r="V25" s="121"/>
      <c r="W25" s="121"/>
      <c r="X25" s="121"/>
      <c r="Y25" s="68">
        <f t="shared" si="8"/>
        <v>0</v>
      </c>
      <c r="Z25" s="121"/>
      <c r="AA25" s="121"/>
      <c r="AB25" s="121"/>
      <c r="AC25" s="121"/>
      <c r="AD25" s="121"/>
      <c r="AE25" s="69">
        <f t="shared" si="3"/>
        <v>0</v>
      </c>
      <c r="AF25" s="121"/>
      <c r="AG25" s="121"/>
      <c r="AH25" s="121"/>
      <c r="AI25" s="70">
        <f t="shared" si="4"/>
        <v>0</v>
      </c>
      <c r="AJ25" s="119"/>
      <c r="AK25" s="119"/>
      <c r="AL25" s="119"/>
      <c r="AM25" s="119"/>
      <c r="AN25" s="71">
        <f t="shared" si="5"/>
        <v>0</v>
      </c>
      <c r="AO25" s="77"/>
      <c r="AP25" s="77"/>
      <c r="AQ25" s="77"/>
      <c r="AR25" s="77"/>
      <c r="AS25" s="77"/>
      <c r="AT25" s="77"/>
      <c r="AU25" s="78">
        <f t="shared" si="6"/>
        <v>0</v>
      </c>
      <c r="AV25" s="79">
        <f t="shared" si="9"/>
        <v>0</v>
      </c>
    </row>
    <row r="26" ht="15.75" customHeight="1">
      <c r="A26" s="74">
        <v>19.0</v>
      </c>
      <c r="B26" s="118"/>
      <c r="C26" s="65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66">
        <f t="shared" si="1"/>
        <v>0</v>
      </c>
      <c r="S26" s="121"/>
      <c r="T26" s="121"/>
      <c r="U26" s="67">
        <f t="shared" si="2"/>
        <v>0</v>
      </c>
      <c r="V26" s="121"/>
      <c r="W26" s="121"/>
      <c r="X26" s="121"/>
      <c r="Y26" s="68">
        <f t="shared" si="8"/>
        <v>0</v>
      </c>
      <c r="Z26" s="121"/>
      <c r="AA26" s="121"/>
      <c r="AB26" s="121"/>
      <c r="AC26" s="121"/>
      <c r="AD26" s="121"/>
      <c r="AE26" s="69">
        <f t="shared" si="3"/>
        <v>0</v>
      </c>
      <c r="AF26" s="121"/>
      <c r="AG26" s="121"/>
      <c r="AH26" s="121"/>
      <c r="AI26" s="70">
        <f t="shared" si="4"/>
        <v>0</v>
      </c>
      <c r="AJ26" s="119"/>
      <c r="AK26" s="119"/>
      <c r="AL26" s="119"/>
      <c r="AM26" s="119"/>
      <c r="AN26" s="71">
        <f t="shared" si="5"/>
        <v>0</v>
      </c>
      <c r="AO26" s="77"/>
      <c r="AP26" s="77"/>
      <c r="AQ26" s="77"/>
      <c r="AR26" s="77"/>
      <c r="AS26" s="77"/>
      <c r="AT26" s="77"/>
      <c r="AU26" s="78">
        <f t="shared" si="6"/>
        <v>0</v>
      </c>
      <c r="AV26" s="79">
        <f t="shared" si="9"/>
        <v>0</v>
      </c>
    </row>
    <row r="27" ht="15.75" customHeight="1">
      <c r="A27" s="74">
        <v>20.0</v>
      </c>
      <c r="B27" s="118"/>
      <c r="C27" s="65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66">
        <f t="shared" si="1"/>
        <v>0</v>
      </c>
      <c r="S27" s="121"/>
      <c r="T27" s="121"/>
      <c r="U27" s="67">
        <f t="shared" si="2"/>
        <v>0</v>
      </c>
      <c r="V27" s="121"/>
      <c r="W27" s="121"/>
      <c r="X27" s="121"/>
      <c r="Y27" s="68">
        <f t="shared" si="8"/>
        <v>0</v>
      </c>
      <c r="Z27" s="121"/>
      <c r="AA27" s="121"/>
      <c r="AB27" s="121"/>
      <c r="AC27" s="121"/>
      <c r="AD27" s="121"/>
      <c r="AE27" s="69">
        <f t="shared" si="3"/>
        <v>0</v>
      </c>
      <c r="AF27" s="121"/>
      <c r="AG27" s="121"/>
      <c r="AH27" s="121"/>
      <c r="AI27" s="70">
        <f t="shared" si="4"/>
        <v>0</v>
      </c>
      <c r="AJ27" s="119"/>
      <c r="AK27" s="119"/>
      <c r="AL27" s="119"/>
      <c r="AM27" s="119"/>
      <c r="AN27" s="71">
        <f t="shared" si="5"/>
        <v>0</v>
      </c>
      <c r="AO27" s="77"/>
      <c r="AP27" s="77"/>
      <c r="AQ27" s="77"/>
      <c r="AR27" s="77"/>
      <c r="AS27" s="77"/>
      <c r="AT27" s="77"/>
      <c r="AU27" s="78">
        <f t="shared" si="6"/>
        <v>0</v>
      </c>
      <c r="AV27" s="79">
        <f t="shared" si="9"/>
        <v>0</v>
      </c>
    </row>
    <row r="28" ht="15.75" customHeight="1">
      <c r="A28" s="74">
        <v>21.0</v>
      </c>
      <c r="B28" s="118"/>
      <c r="C28" s="65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66">
        <f t="shared" si="1"/>
        <v>0</v>
      </c>
      <c r="S28" s="121"/>
      <c r="T28" s="121"/>
      <c r="U28" s="67">
        <f t="shared" si="2"/>
        <v>0</v>
      </c>
      <c r="V28" s="121"/>
      <c r="W28" s="121"/>
      <c r="X28" s="121"/>
      <c r="Y28" s="68">
        <f t="shared" si="8"/>
        <v>0</v>
      </c>
      <c r="Z28" s="121"/>
      <c r="AA28" s="121"/>
      <c r="AB28" s="121"/>
      <c r="AC28" s="121"/>
      <c r="AD28" s="121"/>
      <c r="AE28" s="69">
        <f t="shared" si="3"/>
        <v>0</v>
      </c>
      <c r="AF28" s="121"/>
      <c r="AG28" s="121"/>
      <c r="AH28" s="121"/>
      <c r="AI28" s="70">
        <f t="shared" si="4"/>
        <v>0</v>
      </c>
      <c r="AJ28" s="119"/>
      <c r="AK28" s="119"/>
      <c r="AL28" s="119"/>
      <c r="AM28" s="119"/>
      <c r="AN28" s="71">
        <f t="shared" si="5"/>
        <v>0</v>
      </c>
      <c r="AO28" s="77"/>
      <c r="AP28" s="77"/>
      <c r="AQ28" s="77"/>
      <c r="AR28" s="77"/>
      <c r="AS28" s="77"/>
      <c r="AT28" s="77"/>
      <c r="AU28" s="78">
        <f t="shared" si="6"/>
        <v>0</v>
      </c>
      <c r="AV28" s="79">
        <f t="shared" si="9"/>
        <v>0</v>
      </c>
    </row>
    <row r="29" ht="15.75" customHeight="1">
      <c r="A29" s="74">
        <v>22.0</v>
      </c>
      <c r="B29" s="118"/>
      <c r="C29" s="65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66">
        <f t="shared" si="1"/>
        <v>0</v>
      </c>
      <c r="S29" s="121"/>
      <c r="T29" s="121"/>
      <c r="U29" s="67">
        <f t="shared" si="2"/>
        <v>0</v>
      </c>
      <c r="V29" s="121"/>
      <c r="W29" s="121"/>
      <c r="X29" s="121"/>
      <c r="Y29" s="68">
        <f t="shared" si="8"/>
        <v>0</v>
      </c>
      <c r="Z29" s="121"/>
      <c r="AA29" s="121"/>
      <c r="AB29" s="121"/>
      <c r="AC29" s="121"/>
      <c r="AD29" s="121"/>
      <c r="AE29" s="69">
        <v>0.0</v>
      </c>
      <c r="AF29" s="121"/>
      <c r="AG29" s="121"/>
      <c r="AH29" s="121"/>
      <c r="AI29" s="70">
        <v>0.0</v>
      </c>
      <c r="AJ29" s="119"/>
      <c r="AK29" s="119"/>
      <c r="AL29" s="119"/>
      <c r="AM29" s="119"/>
      <c r="AN29" s="71">
        <f t="shared" si="5"/>
        <v>0</v>
      </c>
      <c r="AO29" s="77"/>
      <c r="AP29" s="77"/>
      <c r="AQ29" s="77"/>
      <c r="AR29" s="77"/>
      <c r="AS29" s="77"/>
      <c r="AT29" s="77"/>
      <c r="AU29" s="78">
        <f t="shared" si="6"/>
        <v>0</v>
      </c>
      <c r="AV29" s="79">
        <f t="shared" si="9"/>
        <v>0</v>
      </c>
    </row>
    <row r="30" ht="15.75" customHeight="1">
      <c r="A30" s="74">
        <v>23.0</v>
      </c>
      <c r="B30" s="118"/>
      <c r="C30" s="65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66">
        <f t="shared" si="1"/>
        <v>0</v>
      </c>
      <c r="S30" s="121"/>
      <c r="T30" s="121"/>
      <c r="U30" s="67">
        <f t="shared" si="2"/>
        <v>0</v>
      </c>
      <c r="V30" s="121"/>
      <c r="W30" s="121"/>
      <c r="X30" s="121"/>
      <c r="Y30" s="68">
        <f t="shared" si="8"/>
        <v>0</v>
      </c>
      <c r="Z30" s="121"/>
      <c r="AA30" s="121"/>
      <c r="AB30" s="121"/>
      <c r="AC30" s="121"/>
      <c r="AD30" s="121"/>
      <c r="AE30" s="69">
        <f t="shared" ref="AE30:AE51" si="10">SUM(AA30:AD30)/4</f>
        <v>0</v>
      </c>
      <c r="AF30" s="121"/>
      <c r="AG30" s="121"/>
      <c r="AH30" s="121"/>
      <c r="AI30" s="70">
        <f t="shared" ref="AI30:AI51" si="11">SUM(AE30:AH30)/4</f>
        <v>0</v>
      </c>
      <c r="AJ30" s="119"/>
      <c r="AK30" s="119"/>
      <c r="AL30" s="119"/>
      <c r="AM30" s="119"/>
      <c r="AN30" s="71">
        <f t="shared" si="5"/>
        <v>0</v>
      </c>
      <c r="AO30" s="77"/>
      <c r="AP30" s="77"/>
      <c r="AQ30" s="77"/>
      <c r="AR30" s="77"/>
      <c r="AS30" s="77"/>
      <c r="AT30" s="77"/>
      <c r="AU30" s="78">
        <f t="shared" si="6"/>
        <v>0</v>
      </c>
      <c r="AV30" s="79">
        <f t="shared" si="9"/>
        <v>0</v>
      </c>
    </row>
    <row r="31" ht="15.75" customHeight="1">
      <c r="A31" s="74">
        <v>24.0</v>
      </c>
      <c r="B31" s="118"/>
      <c r="C31" s="65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66">
        <f t="shared" si="1"/>
        <v>0</v>
      </c>
      <c r="S31" s="121"/>
      <c r="T31" s="121"/>
      <c r="U31" s="67">
        <f t="shared" si="2"/>
        <v>0</v>
      </c>
      <c r="V31" s="121"/>
      <c r="W31" s="121"/>
      <c r="X31" s="121"/>
      <c r="Y31" s="68">
        <f t="shared" si="8"/>
        <v>0</v>
      </c>
      <c r="Z31" s="121"/>
      <c r="AA31" s="121"/>
      <c r="AB31" s="121"/>
      <c r="AC31" s="121"/>
      <c r="AD31" s="121"/>
      <c r="AE31" s="69">
        <f t="shared" si="10"/>
        <v>0</v>
      </c>
      <c r="AF31" s="121"/>
      <c r="AG31" s="121"/>
      <c r="AH31" s="121"/>
      <c r="AI31" s="70">
        <f t="shared" si="11"/>
        <v>0</v>
      </c>
      <c r="AJ31" s="119"/>
      <c r="AK31" s="119"/>
      <c r="AL31" s="119"/>
      <c r="AM31" s="119"/>
      <c r="AN31" s="71">
        <f t="shared" si="5"/>
        <v>0</v>
      </c>
      <c r="AO31" s="77"/>
      <c r="AP31" s="77"/>
      <c r="AQ31" s="77"/>
      <c r="AR31" s="77"/>
      <c r="AS31" s="77"/>
      <c r="AT31" s="77"/>
      <c r="AU31" s="78">
        <f t="shared" si="6"/>
        <v>0</v>
      </c>
      <c r="AV31" s="79">
        <f t="shared" si="9"/>
        <v>0</v>
      </c>
    </row>
    <row r="32" ht="15.75" customHeight="1">
      <c r="A32" s="74">
        <v>25.0</v>
      </c>
      <c r="B32" s="118"/>
      <c r="C32" s="65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66">
        <f t="shared" si="1"/>
        <v>0</v>
      </c>
      <c r="S32" s="121"/>
      <c r="T32" s="121"/>
      <c r="U32" s="67">
        <f t="shared" si="2"/>
        <v>0</v>
      </c>
      <c r="V32" s="121"/>
      <c r="W32" s="121"/>
      <c r="X32" s="121"/>
      <c r="Y32" s="68">
        <f t="shared" si="8"/>
        <v>0</v>
      </c>
      <c r="Z32" s="121"/>
      <c r="AA32" s="121"/>
      <c r="AB32" s="121"/>
      <c r="AC32" s="121"/>
      <c r="AD32" s="121"/>
      <c r="AE32" s="69">
        <f t="shared" si="10"/>
        <v>0</v>
      </c>
      <c r="AF32" s="121"/>
      <c r="AG32" s="121"/>
      <c r="AH32" s="121"/>
      <c r="AI32" s="70">
        <f t="shared" si="11"/>
        <v>0</v>
      </c>
      <c r="AJ32" s="119"/>
      <c r="AK32" s="119"/>
      <c r="AL32" s="119"/>
      <c r="AM32" s="119"/>
      <c r="AN32" s="71">
        <f t="shared" si="5"/>
        <v>0</v>
      </c>
      <c r="AO32" s="77"/>
      <c r="AP32" s="77"/>
      <c r="AQ32" s="77"/>
      <c r="AR32" s="77"/>
      <c r="AS32" s="77"/>
      <c r="AT32" s="77"/>
      <c r="AU32" s="78">
        <f t="shared" si="6"/>
        <v>0</v>
      </c>
      <c r="AV32" s="79">
        <f t="shared" si="9"/>
        <v>0</v>
      </c>
    </row>
    <row r="33" ht="15.75" customHeight="1">
      <c r="A33" s="74">
        <v>26.0</v>
      </c>
      <c r="B33" s="129"/>
      <c r="C33" s="65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66">
        <f t="shared" si="1"/>
        <v>0</v>
      </c>
      <c r="S33" s="121"/>
      <c r="T33" s="121"/>
      <c r="U33" s="67">
        <f t="shared" si="2"/>
        <v>0</v>
      </c>
      <c r="V33" s="121"/>
      <c r="W33" s="121"/>
      <c r="X33" s="121"/>
      <c r="Y33" s="68">
        <f t="shared" si="8"/>
        <v>0</v>
      </c>
      <c r="Z33" s="121"/>
      <c r="AA33" s="121"/>
      <c r="AB33" s="121"/>
      <c r="AC33" s="121"/>
      <c r="AD33" s="121"/>
      <c r="AE33" s="69">
        <f t="shared" si="10"/>
        <v>0</v>
      </c>
      <c r="AF33" s="121"/>
      <c r="AG33" s="121"/>
      <c r="AH33" s="121"/>
      <c r="AI33" s="70">
        <f t="shared" si="11"/>
        <v>0</v>
      </c>
      <c r="AJ33" s="119"/>
      <c r="AK33" s="119"/>
      <c r="AL33" s="119"/>
      <c r="AM33" s="119"/>
      <c r="AN33" s="71">
        <f t="shared" si="5"/>
        <v>0</v>
      </c>
      <c r="AO33" s="77"/>
      <c r="AP33" s="77"/>
      <c r="AQ33" s="77"/>
      <c r="AR33" s="77"/>
      <c r="AS33" s="77"/>
      <c r="AT33" s="77"/>
      <c r="AU33" s="78">
        <f t="shared" si="6"/>
        <v>0</v>
      </c>
      <c r="AV33" s="79">
        <f t="shared" si="9"/>
        <v>0</v>
      </c>
    </row>
    <row r="34" ht="15.75" customHeight="1">
      <c r="A34" s="74">
        <v>27.0</v>
      </c>
      <c r="B34" s="118"/>
      <c r="C34" s="65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66">
        <f t="shared" si="1"/>
        <v>0</v>
      </c>
      <c r="S34" s="121"/>
      <c r="T34" s="121"/>
      <c r="U34" s="67">
        <f t="shared" si="2"/>
        <v>0</v>
      </c>
      <c r="V34" s="121"/>
      <c r="W34" s="121"/>
      <c r="X34" s="121"/>
      <c r="Y34" s="68">
        <f t="shared" si="8"/>
        <v>0</v>
      </c>
      <c r="Z34" s="121"/>
      <c r="AA34" s="121"/>
      <c r="AB34" s="121"/>
      <c r="AC34" s="121"/>
      <c r="AD34" s="121"/>
      <c r="AE34" s="69">
        <f t="shared" si="10"/>
        <v>0</v>
      </c>
      <c r="AF34" s="121"/>
      <c r="AG34" s="121"/>
      <c r="AH34" s="121"/>
      <c r="AI34" s="70">
        <f t="shared" si="11"/>
        <v>0</v>
      </c>
      <c r="AJ34" s="119"/>
      <c r="AK34" s="119"/>
      <c r="AL34" s="119"/>
      <c r="AM34" s="119"/>
      <c r="AN34" s="71">
        <f t="shared" si="5"/>
        <v>0</v>
      </c>
      <c r="AO34" s="77"/>
      <c r="AP34" s="77"/>
      <c r="AQ34" s="77"/>
      <c r="AR34" s="77"/>
      <c r="AS34" s="77"/>
      <c r="AT34" s="77"/>
      <c r="AU34" s="78">
        <f t="shared" si="6"/>
        <v>0</v>
      </c>
      <c r="AV34" s="79">
        <f t="shared" si="9"/>
        <v>0</v>
      </c>
    </row>
    <row r="35" ht="15.75" customHeight="1">
      <c r="A35" s="74">
        <v>28.0</v>
      </c>
      <c r="B35" s="118"/>
      <c r="C35" s="65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66">
        <f t="shared" si="1"/>
        <v>0</v>
      </c>
      <c r="S35" s="121"/>
      <c r="T35" s="121"/>
      <c r="U35" s="67">
        <f t="shared" si="2"/>
        <v>0</v>
      </c>
      <c r="V35" s="121"/>
      <c r="W35" s="121"/>
      <c r="X35" s="121"/>
      <c r="Y35" s="68">
        <f t="shared" si="8"/>
        <v>0</v>
      </c>
      <c r="Z35" s="121"/>
      <c r="AA35" s="121"/>
      <c r="AB35" s="121"/>
      <c r="AC35" s="121"/>
      <c r="AD35" s="121"/>
      <c r="AE35" s="69">
        <f t="shared" si="10"/>
        <v>0</v>
      </c>
      <c r="AF35" s="121"/>
      <c r="AG35" s="121"/>
      <c r="AH35" s="121"/>
      <c r="AI35" s="70">
        <f t="shared" si="11"/>
        <v>0</v>
      </c>
      <c r="AJ35" s="119"/>
      <c r="AK35" s="119"/>
      <c r="AL35" s="119"/>
      <c r="AM35" s="119"/>
      <c r="AN35" s="71">
        <f t="shared" si="5"/>
        <v>0</v>
      </c>
      <c r="AO35" s="77"/>
      <c r="AP35" s="77"/>
      <c r="AQ35" s="77"/>
      <c r="AR35" s="77"/>
      <c r="AS35" s="77"/>
      <c r="AT35" s="77"/>
      <c r="AU35" s="78">
        <f t="shared" si="6"/>
        <v>0</v>
      </c>
      <c r="AV35" s="79">
        <f t="shared" si="9"/>
        <v>0</v>
      </c>
    </row>
    <row r="36" ht="15.75" customHeight="1">
      <c r="A36" s="74">
        <v>29.0</v>
      </c>
      <c r="B36" s="130"/>
      <c r="C36" s="75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66">
        <f t="shared" si="1"/>
        <v>0</v>
      </c>
      <c r="S36" s="121"/>
      <c r="T36" s="121"/>
      <c r="U36" s="67">
        <f t="shared" si="2"/>
        <v>0</v>
      </c>
      <c r="V36" s="121"/>
      <c r="W36" s="121"/>
      <c r="X36" s="121"/>
      <c r="Y36" s="68">
        <f t="shared" si="8"/>
        <v>0</v>
      </c>
      <c r="Z36" s="121"/>
      <c r="AA36" s="121"/>
      <c r="AB36" s="121"/>
      <c r="AC36" s="121"/>
      <c r="AD36" s="121"/>
      <c r="AE36" s="69">
        <f t="shared" si="10"/>
        <v>0</v>
      </c>
      <c r="AF36" s="121"/>
      <c r="AG36" s="121"/>
      <c r="AH36" s="121"/>
      <c r="AI36" s="70">
        <f t="shared" si="11"/>
        <v>0</v>
      </c>
      <c r="AJ36" s="119"/>
      <c r="AK36" s="119"/>
      <c r="AL36" s="119"/>
      <c r="AM36" s="119"/>
      <c r="AN36" s="71">
        <f t="shared" si="5"/>
        <v>0</v>
      </c>
      <c r="AO36" s="77"/>
      <c r="AP36" s="77"/>
      <c r="AQ36" s="77"/>
      <c r="AR36" s="77"/>
      <c r="AS36" s="77"/>
      <c r="AT36" s="77"/>
      <c r="AU36" s="78">
        <f t="shared" si="6"/>
        <v>0</v>
      </c>
      <c r="AV36" s="79">
        <f t="shared" si="9"/>
        <v>0</v>
      </c>
    </row>
    <row r="37" ht="15.75" customHeight="1">
      <c r="A37" s="74">
        <v>30.0</v>
      </c>
      <c r="B37" s="130"/>
      <c r="C37" s="75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66">
        <f t="shared" si="1"/>
        <v>0</v>
      </c>
      <c r="S37" s="121"/>
      <c r="T37" s="121"/>
      <c r="U37" s="67">
        <f t="shared" si="2"/>
        <v>0</v>
      </c>
      <c r="V37" s="121"/>
      <c r="W37" s="121"/>
      <c r="X37" s="121"/>
      <c r="Y37" s="68">
        <f t="shared" si="8"/>
        <v>0</v>
      </c>
      <c r="Z37" s="121"/>
      <c r="AA37" s="121"/>
      <c r="AB37" s="121"/>
      <c r="AC37" s="121"/>
      <c r="AD37" s="121"/>
      <c r="AE37" s="69">
        <f t="shared" si="10"/>
        <v>0</v>
      </c>
      <c r="AF37" s="121"/>
      <c r="AG37" s="121"/>
      <c r="AH37" s="121"/>
      <c r="AI37" s="70">
        <f t="shared" si="11"/>
        <v>0</v>
      </c>
      <c r="AJ37" s="119"/>
      <c r="AK37" s="119"/>
      <c r="AL37" s="119"/>
      <c r="AM37" s="119"/>
      <c r="AN37" s="71">
        <f t="shared" si="5"/>
        <v>0</v>
      </c>
      <c r="AO37" s="77"/>
      <c r="AP37" s="77"/>
      <c r="AQ37" s="77"/>
      <c r="AR37" s="77"/>
      <c r="AS37" s="77"/>
      <c r="AT37" s="77"/>
      <c r="AU37" s="78">
        <f t="shared" si="6"/>
        <v>0</v>
      </c>
      <c r="AV37" s="79">
        <f t="shared" si="9"/>
        <v>0</v>
      </c>
    </row>
    <row r="38" ht="15.75" customHeight="1">
      <c r="A38" s="74">
        <v>31.0</v>
      </c>
      <c r="B38" s="131"/>
      <c r="C38" s="75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66">
        <f t="shared" si="1"/>
        <v>0</v>
      </c>
      <c r="S38" s="121"/>
      <c r="T38" s="121"/>
      <c r="U38" s="67">
        <f t="shared" si="2"/>
        <v>0</v>
      </c>
      <c r="V38" s="121"/>
      <c r="W38" s="121"/>
      <c r="X38" s="121"/>
      <c r="Y38" s="68">
        <f t="shared" si="8"/>
        <v>0</v>
      </c>
      <c r="Z38" s="121"/>
      <c r="AA38" s="121"/>
      <c r="AB38" s="121"/>
      <c r="AC38" s="121"/>
      <c r="AD38" s="121"/>
      <c r="AE38" s="69">
        <f t="shared" si="10"/>
        <v>0</v>
      </c>
      <c r="AF38" s="121"/>
      <c r="AG38" s="121"/>
      <c r="AH38" s="121"/>
      <c r="AI38" s="70">
        <f t="shared" si="11"/>
        <v>0</v>
      </c>
      <c r="AJ38" s="119"/>
      <c r="AK38" s="119"/>
      <c r="AL38" s="119"/>
      <c r="AM38" s="119"/>
      <c r="AN38" s="71">
        <f t="shared" si="5"/>
        <v>0</v>
      </c>
      <c r="AO38" s="77"/>
      <c r="AP38" s="77"/>
      <c r="AQ38" s="77"/>
      <c r="AR38" s="77"/>
      <c r="AS38" s="77"/>
      <c r="AT38" s="77"/>
      <c r="AU38" s="78">
        <f t="shared" si="6"/>
        <v>0</v>
      </c>
      <c r="AV38" s="79">
        <f t="shared" si="9"/>
        <v>0</v>
      </c>
    </row>
    <row r="39" ht="15.75" customHeight="1">
      <c r="A39" s="74">
        <v>32.0</v>
      </c>
      <c r="B39" s="131"/>
      <c r="C39" s="75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66">
        <f t="shared" si="1"/>
        <v>0</v>
      </c>
      <c r="S39" s="121"/>
      <c r="T39" s="121"/>
      <c r="U39" s="67">
        <f t="shared" si="2"/>
        <v>0</v>
      </c>
      <c r="V39" s="121"/>
      <c r="W39" s="121"/>
      <c r="X39" s="121"/>
      <c r="Y39" s="68">
        <f t="shared" si="8"/>
        <v>0</v>
      </c>
      <c r="Z39" s="121"/>
      <c r="AA39" s="121"/>
      <c r="AB39" s="121"/>
      <c r="AC39" s="121"/>
      <c r="AD39" s="121"/>
      <c r="AE39" s="69">
        <f t="shared" si="10"/>
        <v>0</v>
      </c>
      <c r="AF39" s="121"/>
      <c r="AG39" s="121"/>
      <c r="AH39" s="121"/>
      <c r="AI39" s="70">
        <f t="shared" si="11"/>
        <v>0</v>
      </c>
      <c r="AJ39" s="119"/>
      <c r="AK39" s="119"/>
      <c r="AL39" s="119"/>
      <c r="AM39" s="119"/>
      <c r="AN39" s="71">
        <f t="shared" si="5"/>
        <v>0</v>
      </c>
      <c r="AO39" s="77"/>
      <c r="AP39" s="77"/>
      <c r="AQ39" s="77"/>
      <c r="AR39" s="77"/>
      <c r="AS39" s="77"/>
      <c r="AT39" s="77"/>
      <c r="AU39" s="78">
        <f t="shared" si="6"/>
        <v>0</v>
      </c>
      <c r="AV39" s="79">
        <f t="shared" si="9"/>
        <v>0</v>
      </c>
    </row>
    <row r="40" ht="15.75" customHeight="1">
      <c r="A40" s="74">
        <v>33.0</v>
      </c>
      <c r="B40" s="75"/>
      <c r="C40" s="75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66">
        <f t="shared" si="1"/>
        <v>0</v>
      </c>
      <c r="S40" s="121"/>
      <c r="T40" s="121"/>
      <c r="U40" s="67">
        <f t="shared" si="2"/>
        <v>0</v>
      </c>
      <c r="V40" s="121"/>
      <c r="W40" s="121"/>
      <c r="X40" s="121"/>
      <c r="Y40" s="68">
        <f t="shared" si="8"/>
        <v>0</v>
      </c>
      <c r="Z40" s="121"/>
      <c r="AA40" s="121"/>
      <c r="AB40" s="121"/>
      <c r="AC40" s="121"/>
      <c r="AD40" s="121"/>
      <c r="AE40" s="69">
        <f t="shared" si="10"/>
        <v>0</v>
      </c>
      <c r="AF40" s="121"/>
      <c r="AG40" s="121"/>
      <c r="AH40" s="121"/>
      <c r="AI40" s="70">
        <f t="shared" si="11"/>
        <v>0</v>
      </c>
      <c r="AJ40" s="119"/>
      <c r="AK40" s="119"/>
      <c r="AL40" s="119"/>
      <c r="AM40" s="119"/>
      <c r="AN40" s="71">
        <f t="shared" si="5"/>
        <v>0</v>
      </c>
      <c r="AO40" s="77"/>
      <c r="AP40" s="77"/>
      <c r="AQ40" s="77"/>
      <c r="AR40" s="77"/>
      <c r="AS40" s="77"/>
      <c r="AT40" s="77"/>
      <c r="AU40" s="78">
        <f t="shared" si="6"/>
        <v>0</v>
      </c>
      <c r="AV40" s="79">
        <f t="shared" si="9"/>
        <v>0</v>
      </c>
    </row>
    <row r="41" ht="15.75" customHeight="1">
      <c r="A41" s="74">
        <v>34.0</v>
      </c>
      <c r="B41" s="75"/>
      <c r="C41" s="75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66">
        <f t="shared" si="1"/>
        <v>0</v>
      </c>
      <c r="S41" s="121"/>
      <c r="T41" s="121"/>
      <c r="U41" s="67">
        <f t="shared" si="2"/>
        <v>0</v>
      </c>
      <c r="V41" s="121"/>
      <c r="W41" s="121"/>
      <c r="X41" s="121"/>
      <c r="Y41" s="68">
        <f t="shared" si="8"/>
        <v>0</v>
      </c>
      <c r="Z41" s="121"/>
      <c r="AA41" s="121"/>
      <c r="AB41" s="121"/>
      <c r="AC41" s="121"/>
      <c r="AD41" s="121"/>
      <c r="AE41" s="69">
        <f t="shared" si="10"/>
        <v>0</v>
      </c>
      <c r="AF41" s="121"/>
      <c r="AG41" s="121"/>
      <c r="AH41" s="121"/>
      <c r="AI41" s="70">
        <f t="shared" si="11"/>
        <v>0</v>
      </c>
      <c r="AJ41" s="119"/>
      <c r="AK41" s="119"/>
      <c r="AL41" s="119"/>
      <c r="AM41" s="119"/>
      <c r="AN41" s="71">
        <f t="shared" si="5"/>
        <v>0</v>
      </c>
      <c r="AO41" s="77"/>
      <c r="AP41" s="77"/>
      <c r="AQ41" s="77"/>
      <c r="AR41" s="77"/>
      <c r="AS41" s="77"/>
      <c r="AT41" s="77"/>
      <c r="AU41" s="78">
        <f t="shared" si="6"/>
        <v>0</v>
      </c>
      <c r="AV41" s="79">
        <f t="shared" si="9"/>
        <v>0</v>
      </c>
    </row>
    <row r="42" ht="15.75" customHeight="1">
      <c r="A42" s="74">
        <v>35.0</v>
      </c>
      <c r="B42" s="87"/>
      <c r="C42" s="75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66">
        <f t="shared" si="1"/>
        <v>0</v>
      </c>
      <c r="S42" s="121"/>
      <c r="T42" s="121"/>
      <c r="U42" s="67">
        <f t="shared" si="2"/>
        <v>0</v>
      </c>
      <c r="V42" s="121"/>
      <c r="W42" s="121"/>
      <c r="X42" s="121"/>
      <c r="Y42" s="68">
        <f t="shared" si="8"/>
        <v>0</v>
      </c>
      <c r="Z42" s="121"/>
      <c r="AA42" s="121"/>
      <c r="AB42" s="121"/>
      <c r="AC42" s="121"/>
      <c r="AD42" s="121"/>
      <c r="AE42" s="69">
        <f t="shared" si="10"/>
        <v>0</v>
      </c>
      <c r="AF42" s="121"/>
      <c r="AG42" s="121"/>
      <c r="AH42" s="121"/>
      <c r="AI42" s="70">
        <f t="shared" si="11"/>
        <v>0</v>
      </c>
      <c r="AJ42" s="119"/>
      <c r="AK42" s="119"/>
      <c r="AL42" s="119"/>
      <c r="AM42" s="119"/>
      <c r="AN42" s="71">
        <f t="shared" si="5"/>
        <v>0</v>
      </c>
      <c r="AO42" s="77"/>
      <c r="AP42" s="77"/>
      <c r="AQ42" s="77"/>
      <c r="AR42" s="77"/>
      <c r="AS42" s="77"/>
      <c r="AT42" s="77"/>
      <c r="AU42" s="78">
        <f t="shared" si="6"/>
        <v>0</v>
      </c>
      <c r="AV42" s="79">
        <f t="shared" si="9"/>
        <v>0</v>
      </c>
    </row>
    <row r="43" ht="15.75" customHeight="1">
      <c r="A43" s="74">
        <v>36.0</v>
      </c>
      <c r="B43" s="75"/>
      <c r="C43" s="75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66">
        <f t="shared" si="1"/>
        <v>0</v>
      </c>
      <c r="S43" s="121"/>
      <c r="T43" s="121"/>
      <c r="U43" s="67">
        <f t="shared" si="2"/>
        <v>0</v>
      </c>
      <c r="V43" s="121"/>
      <c r="W43" s="121"/>
      <c r="X43" s="121"/>
      <c r="Y43" s="68">
        <f t="shared" si="8"/>
        <v>0</v>
      </c>
      <c r="Z43" s="121"/>
      <c r="AA43" s="121"/>
      <c r="AB43" s="121"/>
      <c r="AC43" s="121"/>
      <c r="AD43" s="121"/>
      <c r="AE43" s="69">
        <f t="shared" si="10"/>
        <v>0</v>
      </c>
      <c r="AF43" s="121"/>
      <c r="AG43" s="121"/>
      <c r="AH43" s="121"/>
      <c r="AI43" s="70">
        <f t="shared" si="11"/>
        <v>0</v>
      </c>
      <c r="AJ43" s="119"/>
      <c r="AK43" s="119"/>
      <c r="AL43" s="119"/>
      <c r="AM43" s="119"/>
      <c r="AN43" s="71">
        <f t="shared" si="5"/>
        <v>0</v>
      </c>
      <c r="AO43" s="77"/>
      <c r="AP43" s="77"/>
      <c r="AQ43" s="77"/>
      <c r="AR43" s="77"/>
      <c r="AS43" s="77"/>
      <c r="AT43" s="77"/>
      <c r="AU43" s="78">
        <f t="shared" si="6"/>
        <v>0</v>
      </c>
      <c r="AV43" s="79">
        <f t="shared" si="9"/>
        <v>0</v>
      </c>
    </row>
    <row r="44" ht="15.75" customHeight="1">
      <c r="A44" s="74">
        <v>37.0</v>
      </c>
      <c r="B44" s="75"/>
      <c r="C44" s="75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66">
        <f t="shared" si="1"/>
        <v>0</v>
      </c>
      <c r="S44" s="121"/>
      <c r="T44" s="121"/>
      <c r="U44" s="67">
        <f t="shared" si="2"/>
        <v>0</v>
      </c>
      <c r="V44" s="121"/>
      <c r="W44" s="121"/>
      <c r="X44" s="121"/>
      <c r="Y44" s="68">
        <f t="shared" si="8"/>
        <v>0</v>
      </c>
      <c r="Z44" s="121"/>
      <c r="AA44" s="121"/>
      <c r="AB44" s="121"/>
      <c r="AC44" s="121"/>
      <c r="AD44" s="121"/>
      <c r="AE44" s="69">
        <f t="shared" si="10"/>
        <v>0</v>
      </c>
      <c r="AF44" s="121"/>
      <c r="AG44" s="121"/>
      <c r="AH44" s="121"/>
      <c r="AI44" s="70">
        <f t="shared" si="11"/>
        <v>0</v>
      </c>
      <c r="AJ44" s="119"/>
      <c r="AK44" s="119"/>
      <c r="AL44" s="119"/>
      <c r="AM44" s="119"/>
      <c r="AN44" s="71">
        <f t="shared" si="5"/>
        <v>0</v>
      </c>
      <c r="AO44" s="77"/>
      <c r="AP44" s="77"/>
      <c r="AQ44" s="77"/>
      <c r="AR44" s="77"/>
      <c r="AS44" s="77"/>
      <c r="AT44" s="77"/>
      <c r="AU44" s="78">
        <f t="shared" si="6"/>
        <v>0</v>
      </c>
      <c r="AV44" s="79">
        <f t="shared" si="9"/>
        <v>0</v>
      </c>
    </row>
    <row r="45" ht="15.75" customHeight="1">
      <c r="A45" s="132">
        <v>38.0</v>
      </c>
      <c r="B45" s="133"/>
      <c r="C45" s="133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34">
        <f t="shared" si="1"/>
        <v>0</v>
      </c>
      <c r="S45" s="121"/>
      <c r="T45" s="121"/>
      <c r="U45" s="135">
        <f t="shared" si="2"/>
        <v>0</v>
      </c>
      <c r="V45" s="121"/>
      <c r="W45" s="121"/>
      <c r="X45" s="121"/>
      <c r="Y45" s="136">
        <f t="shared" si="8"/>
        <v>0</v>
      </c>
      <c r="Z45" s="121"/>
      <c r="AA45" s="121"/>
      <c r="AB45" s="121"/>
      <c r="AC45" s="121"/>
      <c r="AD45" s="121"/>
      <c r="AE45" s="137">
        <f t="shared" si="10"/>
        <v>0</v>
      </c>
      <c r="AF45" s="121"/>
      <c r="AG45" s="121"/>
      <c r="AH45" s="121"/>
      <c r="AI45" s="138">
        <f t="shared" si="11"/>
        <v>0</v>
      </c>
      <c r="AJ45" s="119"/>
      <c r="AK45" s="119"/>
      <c r="AL45" s="119"/>
      <c r="AM45" s="119"/>
      <c r="AN45" s="139">
        <f t="shared" si="5"/>
        <v>0</v>
      </c>
      <c r="AO45" s="77"/>
      <c r="AP45" s="77"/>
      <c r="AQ45" s="77"/>
      <c r="AR45" s="77"/>
      <c r="AS45" s="77"/>
      <c r="AT45" s="77"/>
      <c r="AU45" s="140">
        <f t="shared" si="6"/>
        <v>0</v>
      </c>
      <c r="AV45" s="141">
        <f t="shared" si="9"/>
        <v>0</v>
      </c>
    </row>
    <row r="46" ht="15.75" customHeight="1">
      <c r="A46" s="74">
        <v>39.0</v>
      </c>
      <c r="B46" s="75"/>
      <c r="C46" s="87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66">
        <f t="shared" si="1"/>
        <v>0</v>
      </c>
      <c r="S46" s="121"/>
      <c r="T46" s="121"/>
      <c r="U46" s="67">
        <f t="shared" si="2"/>
        <v>0</v>
      </c>
      <c r="V46" s="121"/>
      <c r="W46" s="121"/>
      <c r="X46" s="121"/>
      <c r="Y46" s="68">
        <f t="shared" si="8"/>
        <v>0</v>
      </c>
      <c r="Z46" s="121"/>
      <c r="AA46" s="121"/>
      <c r="AB46" s="121"/>
      <c r="AC46" s="121"/>
      <c r="AD46" s="121"/>
      <c r="AE46" s="69">
        <f t="shared" si="10"/>
        <v>0</v>
      </c>
      <c r="AF46" s="121"/>
      <c r="AG46" s="121"/>
      <c r="AH46" s="121"/>
      <c r="AI46" s="70">
        <f t="shared" si="11"/>
        <v>0</v>
      </c>
      <c r="AJ46" s="119"/>
      <c r="AK46" s="119"/>
      <c r="AL46" s="119"/>
      <c r="AM46" s="119"/>
      <c r="AN46" s="71">
        <f t="shared" si="5"/>
        <v>0</v>
      </c>
      <c r="AO46" s="77"/>
      <c r="AP46" s="77"/>
      <c r="AQ46" s="77"/>
      <c r="AR46" s="77"/>
      <c r="AS46" s="77"/>
      <c r="AT46" s="77"/>
      <c r="AU46" s="78">
        <f t="shared" si="6"/>
        <v>0</v>
      </c>
      <c r="AV46" s="79">
        <f t="shared" si="9"/>
        <v>0</v>
      </c>
    </row>
    <row r="47" ht="15.75" customHeight="1">
      <c r="A47" s="74">
        <v>40.0</v>
      </c>
      <c r="B47" s="75"/>
      <c r="C47" s="87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66">
        <f t="shared" si="1"/>
        <v>0</v>
      </c>
      <c r="S47" s="121"/>
      <c r="T47" s="121"/>
      <c r="U47" s="67">
        <f t="shared" si="2"/>
        <v>0</v>
      </c>
      <c r="V47" s="121"/>
      <c r="W47" s="121"/>
      <c r="X47" s="121"/>
      <c r="Y47" s="68">
        <f t="shared" si="8"/>
        <v>0</v>
      </c>
      <c r="Z47" s="121"/>
      <c r="AA47" s="121"/>
      <c r="AB47" s="121"/>
      <c r="AC47" s="121"/>
      <c r="AD47" s="121"/>
      <c r="AE47" s="69">
        <f t="shared" si="10"/>
        <v>0</v>
      </c>
      <c r="AF47" s="121"/>
      <c r="AG47" s="121"/>
      <c r="AH47" s="121"/>
      <c r="AI47" s="138">
        <f t="shared" si="11"/>
        <v>0</v>
      </c>
      <c r="AJ47" s="119"/>
      <c r="AK47" s="119"/>
      <c r="AL47" s="119"/>
      <c r="AM47" s="119"/>
      <c r="AN47" s="139">
        <f t="shared" si="5"/>
        <v>0</v>
      </c>
      <c r="AO47" s="77"/>
      <c r="AP47" s="77"/>
      <c r="AQ47" s="77"/>
      <c r="AR47" s="77"/>
      <c r="AS47" s="77"/>
      <c r="AT47" s="77"/>
      <c r="AU47" s="140">
        <f t="shared" si="6"/>
        <v>0</v>
      </c>
      <c r="AV47" s="79">
        <f t="shared" si="9"/>
        <v>0</v>
      </c>
    </row>
    <row r="48" ht="15.75" customHeight="1">
      <c r="A48" s="74">
        <v>41.0</v>
      </c>
      <c r="B48" s="75"/>
      <c r="C48" s="87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34">
        <f t="shared" si="1"/>
        <v>0</v>
      </c>
      <c r="S48" s="121"/>
      <c r="T48" s="121"/>
      <c r="U48" s="135">
        <f t="shared" si="2"/>
        <v>0</v>
      </c>
      <c r="V48" s="121"/>
      <c r="W48" s="121"/>
      <c r="X48" s="121"/>
      <c r="Y48" s="136">
        <f t="shared" si="8"/>
        <v>0</v>
      </c>
      <c r="Z48" s="121"/>
      <c r="AA48" s="121"/>
      <c r="AB48" s="121"/>
      <c r="AC48" s="121"/>
      <c r="AD48" s="121"/>
      <c r="AE48" s="137">
        <f t="shared" si="10"/>
        <v>0</v>
      </c>
      <c r="AF48" s="121"/>
      <c r="AG48" s="121"/>
      <c r="AH48" s="121"/>
      <c r="AI48" s="70">
        <f t="shared" si="11"/>
        <v>0</v>
      </c>
      <c r="AJ48" s="119"/>
      <c r="AK48" s="119"/>
      <c r="AL48" s="119"/>
      <c r="AM48" s="119"/>
      <c r="AN48" s="71">
        <f t="shared" si="5"/>
        <v>0</v>
      </c>
      <c r="AO48" s="77"/>
      <c r="AP48" s="77"/>
      <c r="AQ48" s="77"/>
      <c r="AR48" s="77"/>
      <c r="AS48" s="77"/>
      <c r="AT48" s="77"/>
      <c r="AU48" s="78">
        <f t="shared" si="6"/>
        <v>0</v>
      </c>
      <c r="AV48" s="141">
        <f t="shared" si="9"/>
        <v>0</v>
      </c>
    </row>
    <row r="49" ht="15.75" customHeight="1">
      <c r="A49" s="142">
        <v>42.0</v>
      </c>
      <c r="B49" s="87"/>
      <c r="C49" s="87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66">
        <f t="shared" si="1"/>
        <v>0</v>
      </c>
      <c r="S49" s="121"/>
      <c r="T49" s="121"/>
      <c r="U49" s="67">
        <f t="shared" si="2"/>
        <v>0</v>
      </c>
      <c r="V49" s="121"/>
      <c r="W49" s="121"/>
      <c r="X49" s="121"/>
      <c r="Y49" s="68">
        <f t="shared" si="8"/>
        <v>0</v>
      </c>
      <c r="Z49" s="121"/>
      <c r="AA49" s="121"/>
      <c r="AB49" s="121"/>
      <c r="AC49" s="121"/>
      <c r="AD49" s="121"/>
      <c r="AE49" s="69">
        <f t="shared" si="10"/>
        <v>0</v>
      </c>
      <c r="AF49" s="121"/>
      <c r="AG49" s="121"/>
      <c r="AH49" s="121"/>
      <c r="AI49" s="138">
        <f t="shared" si="11"/>
        <v>0</v>
      </c>
      <c r="AJ49" s="119"/>
      <c r="AK49" s="119"/>
      <c r="AL49" s="119"/>
      <c r="AM49" s="119"/>
      <c r="AN49" s="139">
        <f t="shared" si="5"/>
        <v>0</v>
      </c>
      <c r="AO49" s="77"/>
      <c r="AP49" s="77"/>
      <c r="AQ49" s="77"/>
      <c r="AR49" s="77"/>
      <c r="AS49" s="77"/>
      <c r="AT49" s="77"/>
      <c r="AU49" s="140">
        <f t="shared" si="6"/>
        <v>0</v>
      </c>
      <c r="AV49" s="79">
        <f t="shared" si="9"/>
        <v>0</v>
      </c>
    </row>
    <row r="50" ht="15.75" customHeight="1">
      <c r="A50" s="142">
        <v>43.0</v>
      </c>
      <c r="B50" s="130"/>
      <c r="C50" s="87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66">
        <f t="shared" si="1"/>
        <v>0</v>
      </c>
      <c r="S50" s="121"/>
      <c r="T50" s="121"/>
      <c r="U50" s="67">
        <f t="shared" si="2"/>
        <v>0</v>
      </c>
      <c r="V50" s="121"/>
      <c r="W50" s="121"/>
      <c r="X50" s="121"/>
      <c r="Y50" s="68">
        <f t="shared" si="8"/>
        <v>0</v>
      </c>
      <c r="Z50" s="121"/>
      <c r="AA50" s="121"/>
      <c r="AB50" s="121"/>
      <c r="AC50" s="121"/>
      <c r="AD50" s="121"/>
      <c r="AE50" s="69">
        <f t="shared" si="10"/>
        <v>0</v>
      </c>
      <c r="AF50" s="121"/>
      <c r="AG50" s="121"/>
      <c r="AH50" s="121"/>
      <c r="AI50" s="138">
        <f t="shared" si="11"/>
        <v>0</v>
      </c>
      <c r="AJ50" s="119"/>
      <c r="AK50" s="119"/>
      <c r="AL50" s="119"/>
      <c r="AM50" s="119"/>
      <c r="AN50" s="139">
        <f t="shared" si="5"/>
        <v>0</v>
      </c>
      <c r="AO50" s="77"/>
      <c r="AP50" s="77"/>
      <c r="AQ50" s="77"/>
      <c r="AR50" s="77"/>
      <c r="AS50" s="77"/>
      <c r="AT50" s="77"/>
      <c r="AU50" s="140">
        <f t="shared" si="6"/>
        <v>0</v>
      </c>
      <c r="AV50" s="79">
        <f t="shared" si="9"/>
        <v>0</v>
      </c>
    </row>
    <row r="51" ht="15.75" customHeight="1">
      <c r="A51" s="142">
        <v>44.0</v>
      </c>
      <c r="B51" s="87"/>
      <c r="C51" s="87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66">
        <f t="shared" si="1"/>
        <v>0</v>
      </c>
      <c r="S51" s="121"/>
      <c r="T51" s="121"/>
      <c r="U51" s="67">
        <f t="shared" si="2"/>
        <v>0</v>
      </c>
      <c r="V51" s="121"/>
      <c r="W51" s="121"/>
      <c r="X51" s="121"/>
      <c r="Y51" s="68">
        <f t="shared" si="8"/>
        <v>0</v>
      </c>
      <c r="Z51" s="121"/>
      <c r="AA51" s="121"/>
      <c r="AB51" s="121"/>
      <c r="AC51" s="121"/>
      <c r="AD51" s="121"/>
      <c r="AE51" s="69">
        <f t="shared" si="10"/>
        <v>0</v>
      </c>
      <c r="AF51" s="121"/>
      <c r="AG51" s="121"/>
      <c r="AH51" s="121"/>
      <c r="AI51" s="138">
        <f t="shared" si="11"/>
        <v>0</v>
      </c>
      <c r="AJ51" s="119"/>
      <c r="AK51" s="119"/>
      <c r="AL51" s="119"/>
      <c r="AM51" s="119"/>
      <c r="AN51" s="139">
        <f t="shared" si="5"/>
        <v>0</v>
      </c>
      <c r="AO51" s="77"/>
      <c r="AP51" s="77"/>
      <c r="AQ51" s="77"/>
      <c r="AR51" s="77"/>
      <c r="AS51" s="77"/>
      <c r="AT51" s="77"/>
      <c r="AU51" s="140">
        <f t="shared" si="6"/>
        <v>0</v>
      </c>
      <c r="AV51" s="79">
        <f t="shared" si="9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6:B7"/>
    <mergeCell ref="C6:C7"/>
    <mergeCell ref="D6:R6"/>
    <mergeCell ref="S6:U6"/>
    <mergeCell ref="V6:Y6"/>
    <mergeCell ref="Z6:AE6"/>
    <mergeCell ref="AF6:AI6"/>
    <mergeCell ref="AJ6:AN6"/>
    <mergeCell ref="AO6:AU6"/>
    <mergeCell ref="AV6:AV7"/>
    <mergeCell ref="A1:AV1"/>
    <mergeCell ref="C3:P3"/>
    <mergeCell ref="Q3:U3"/>
    <mergeCell ref="V3:AE3"/>
    <mergeCell ref="C4:P4"/>
    <mergeCell ref="A6:A7"/>
    <mergeCell ref="V4:AN4"/>
  </mergeCells>
  <printOptions/>
  <pageMargins bottom="0.75" footer="0.0" header="0.0" left="0.7" right="0.7" top="0.75"/>
  <pageSetup paperSize="9" scale="5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0"/>
    <col customWidth="1" min="2" max="2" width="36.44"/>
    <col customWidth="1" min="3" max="3" width="3.78"/>
    <col customWidth="1" min="4" max="4" width="3.44"/>
    <col customWidth="1" min="5" max="6" width="3.67"/>
    <col customWidth="1" min="7" max="8" width="3.44"/>
    <col customWidth="1" min="9" max="9" width="3.67"/>
    <col customWidth="1" min="10" max="10" width="3.44"/>
    <col customWidth="1" min="11" max="11" width="3.67"/>
    <col customWidth="1" min="12" max="12" width="3.78"/>
    <col customWidth="1" min="13" max="14" width="4.0"/>
    <col customWidth="1" min="15" max="17" width="3.78"/>
    <col customWidth="1" min="18" max="18" width="3.44"/>
    <col customWidth="1" min="19" max="20" width="3.78"/>
    <col customWidth="1" min="21" max="22" width="3.67"/>
    <col customWidth="1" min="23" max="24" width="3.78"/>
    <col customWidth="1" min="25" max="25" width="3.44"/>
    <col customWidth="1" min="26" max="26" width="3.33"/>
    <col customWidth="1" min="27" max="27" width="3.44"/>
    <col customWidth="1" min="28" max="28" width="3.67"/>
    <col customWidth="1" min="29" max="29" width="3.44"/>
    <col customWidth="1" min="30" max="30" width="4.0"/>
    <col customWidth="1" min="31" max="31" width="3.78"/>
    <col customWidth="1" min="32" max="32" width="3.67"/>
    <col customWidth="1" min="33" max="35" width="3.44"/>
    <col customWidth="1" min="36" max="37" width="3.67"/>
    <col customWidth="1" min="38" max="38" width="4.0"/>
    <col customWidth="1" min="39" max="40" width="3.78"/>
    <col customWidth="1" min="41" max="41" width="4.0"/>
    <col customWidth="1" min="42" max="42" width="4.11"/>
    <col customWidth="1" min="43" max="43" width="3.78"/>
    <col customWidth="1" min="44" max="44" width="3.67"/>
    <col customWidth="1" min="45" max="45" width="3.78"/>
    <col customWidth="1" min="46" max="46" width="4.0"/>
    <col customWidth="1" min="47" max="47" width="3.78"/>
    <col customWidth="1" min="48" max="48" width="5.11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3"/>
    </row>
    <row r="2" ht="15.75" customHeight="1">
      <c r="A2" s="4"/>
      <c r="B2" s="5"/>
      <c r="C2" s="5"/>
      <c r="D2" s="5"/>
      <c r="E2" s="5"/>
      <c r="F2" s="5"/>
      <c r="H2" s="6"/>
      <c r="L2" s="5"/>
      <c r="M2" s="5"/>
      <c r="N2" s="5"/>
      <c r="O2" s="5"/>
      <c r="P2" s="5"/>
      <c r="Q2" s="5"/>
      <c r="R2" s="5"/>
      <c r="S2" s="5"/>
      <c r="T2" s="5"/>
      <c r="U2" s="5"/>
      <c r="AV2" s="7"/>
    </row>
    <row r="3" ht="23.25" customHeight="1">
      <c r="A3" s="8"/>
      <c r="B3" s="9" t="s">
        <v>1</v>
      </c>
      <c r="C3" s="10" t="s">
        <v>2</v>
      </c>
      <c r="Q3" s="9" t="s">
        <v>3</v>
      </c>
      <c r="V3" s="11" t="s">
        <v>48</v>
      </c>
      <c r="AV3" s="7"/>
    </row>
    <row r="4" ht="23.25" customHeight="1">
      <c r="A4" s="12"/>
      <c r="B4" s="13" t="s">
        <v>5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7</v>
      </c>
      <c r="R4" s="13"/>
      <c r="S4" s="13"/>
      <c r="T4" s="13"/>
      <c r="U4" s="13"/>
      <c r="V4" s="16" t="s">
        <v>49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7"/>
      <c r="AQ4" s="17"/>
      <c r="AR4" s="17"/>
      <c r="AS4" s="17"/>
      <c r="AT4" s="17"/>
      <c r="AU4" s="17"/>
      <c r="AV4" s="18"/>
    </row>
    <row r="5" ht="15.75" customHeight="1">
      <c r="A5" s="19"/>
      <c r="B5" s="19"/>
      <c r="C5" s="19"/>
    </row>
    <row r="6" ht="16.5" customHeight="1">
      <c r="A6" s="20" t="s">
        <v>9</v>
      </c>
      <c r="B6" s="20" t="s">
        <v>10</v>
      </c>
      <c r="C6" s="21" t="s">
        <v>11</v>
      </c>
      <c r="D6" s="22" t="s">
        <v>12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4"/>
      <c r="S6" s="25" t="s">
        <v>13</v>
      </c>
      <c r="T6" s="23"/>
      <c r="U6" s="24"/>
      <c r="V6" s="26" t="s">
        <v>14</v>
      </c>
      <c r="W6" s="23"/>
      <c r="X6" s="23"/>
      <c r="Y6" s="24"/>
      <c r="Z6" s="27" t="s">
        <v>15</v>
      </c>
      <c r="AA6" s="23"/>
      <c r="AB6" s="23"/>
      <c r="AC6" s="23"/>
      <c r="AD6" s="23"/>
      <c r="AE6" s="24"/>
      <c r="AF6" s="28" t="s">
        <v>16</v>
      </c>
      <c r="AG6" s="23"/>
      <c r="AH6" s="23"/>
      <c r="AI6" s="24"/>
      <c r="AJ6" s="29" t="s">
        <v>17</v>
      </c>
      <c r="AK6" s="23"/>
      <c r="AL6" s="23"/>
      <c r="AM6" s="23"/>
      <c r="AN6" s="24"/>
      <c r="AO6" s="30" t="s">
        <v>18</v>
      </c>
      <c r="AP6" s="23"/>
      <c r="AQ6" s="23"/>
      <c r="AR6" s="23"/>
      <c r="AS6" s="23"/>
      <c r="AT6" s="23"/>
      <c r="AU6" s="24"/>
      <c r="AV6" s="31" t="s">
        <v>19</v>
      </c>
    </row>
    <row r="7" ht="60.75" customHeight="1">
      <c r="A7" s="32"/>
      <c r="B7" s="32"/>
      <c r="C7" s="33"/>
      <c r="D7" s="143">
        <v>1.1</v>
      </c>
      <c r="E7" s="144">
        <v>1.2</v>
      </c>
      <c r="F7" s="144">
        <v>1.3</v>
      </c>
      <c r="G7" s="144">
        <v>1.4</v>
      </c>
      <c r="H7" s="144">
        <v>1.5</v>
      </c>
      <c r="I7" s="144">
        <v>1.6</v>
      </c>
      <c r="J7" s="144">
        <v>1.7</v>
      </c>
      <c r="K7" s="144">
        <v>1.8</v>
      </c>
      <c r="L7" s="144">
        <v>1.9</v>
      </c>
      <c r="M7" s="144">
        <v>110.0</v>
      </c>
      <c r="N7" s="144">
        <v>1.11</v>
      </c>
      <c r="O7" s="144">
        <v>1.12</v>
      </c>
      <c r="P7" s="144">
        <v>1.13</v>
      </c>
      <c r="Q7" s="144">
        <v>1.14</v>
      </c>
      <c r="R7" s="145" t="s">
        <v>20</v>
      </c>
      <c r="S7" s="37" t="s">
        <v>21</v>
      </c>
      <c r="T7" s="38" t="s">
        <v>22</v>
      </c>
      <c r="U7" s="39" t="s">
        <v>20</v>
      </c>
      <c r="V7" s="40" t="s">
        <v>23</v>
      </c>
      <c r="W7" s="41" t="s">
        <v>24</v>
      </c>
      <c r="X7" s="42" t="s">
        <v>25</v>
      </c>
      <c r="Y7" s="146" t="s">
        <v>20</v>
      </c>
      <c r="Z7" s="44" t="s">
        <v>26</v>
      </c>
      <c r="AA7" s="45" t="s">
        <v>27</v>
      </c>
      <c r="AB7" s="45" t="s">
        <v>28</v>
      </c>
      <c r="AC7" s="45" t="s">
        <v>29</v>
      </c>
      <c r="AD7" s="45" t="s">
        <v>30</v>
      </c>
      <c r="AE7" s="147" t="s">
        <v>20</v>
      </c>
      <c r="AF7" s="148" t="s">
        <v>31</v>
      </c>
      <c r="AG7" s="48" t="s">
        <v>32</v>
      </c>
      <c r="AH7" s="48" t="s">
        <v>33</v>
      </c>
      <c r="AI7" s="149" t="s">
        <v>20</v>
      </c>
      <c r="AJ7" s="150" t="s">
        <v>34</v>
      </c>
      <c r="AK7" s="52" t="s">
        <v>35</v>
      </c>
      <c r="AL7" s="52" t="s">
        <v>36</v>
      </c>
      <c r="AM7" s="52" t="s">
        <v>37</v>
      </c>
      <c r="AN7" s="151" t="s">
        <v>20</v>
      </c>
      <c r="AO7" s="152" t="s">
        <v>38</v>
      </c>
      <c r="AP7" s="55" t="s">
        <v>39</v>
      </c>
      <c r="AQ7" s="55" t="s">
        <v>40</v>
      </c>
      <c r="AR7" s="55" t="s">
        <v>41</v>
      </c>
      <c r="AS7" s="55" t="s">
        <v>42</v>
      </c>
      <c r="AT7" s="55" t="s">
        <v>43</v>
      </c>
      <c r="AU7" s="57" t="s">
        <v>20</v>
      </c>
      <c r="AV7" s="58"/>
    </row>
    <row r="8" ht="15.75" customHeight="1">
      <c r="A8" s="153">
        <v>1.0</v>
      </c>
      <c r="B8" s="154"/>
      <c r="C8" s="154"/>
      <c r="D8" s="154"/>
      <c r="E8" s="155"/>
      <c r="F8" s="156"/>
      <c r="G8" s="155"/>
      <c r="H8" s="155"/>
      <c r="I8" s="156"/>
      <c r="J8" s="156"/>
      <c r="K8" s="155"/>
      <c r="L8" s="155"/>
      <c r="M8" s="155"/>
      <c r="N8" s="156"/>
      <c r="O8" s="156"/>
      <c r="P8" s="155"/>
      <c r="Q8" s="156"/>
      <c r="R8" s="157">
        <f t="shared" ref="R8:R45" si="1">SUM(P8:Q8)/2</f>
        <v>0</v>
      </c>
      <c r="S8" s="63"/>
      <c r="T8" s="63"/>
      <c r="U8" s="63"/>
      <c r="V8" s="63"/>
      <c r="W8" s="63"/>
      <c r="X8" s="63"/>
      <c r="Y8" s="158">
        <v>0.0</v>
      </c>
      <c r="Z8" s="63"/>
      <c r="AA8" s="62"/>
      <c r="AB8" s="63"/>
      <c r="AC8" s="63"/>
      <c r="AD8" s="62"/>
      <c r="AE8" s="159">
        <f t="shared" ref="AE8:AE45" si="2">SUM(AA8:AD8)/4</f>
        <v>0</v>
      </c>
      <c r="AF8" s="62"/>
      <c r="AG8" s="62"/>
      <c r="AH8" s="62"/>
      <c r="AI8" s="160">
        <f t="shared" ref="AI8:AI45" si="3">SUM(AE8:AH8)/4</f>
        <v>0</v>
      </c>
      <c r="AJ8" s="63"/>
      <c r="AK8" s="63"/>
      <c r="AL8" s="63"/>
      <c r="AM8" s="63"/>
      <c r="AN8" s="161">
        <f t="shared" ref="AN8:AN45" si="4">SUM(AJ8:AM8)/4</f>
        <v>0</v>
      </c>
      <c r="AO8" s="62"/>
      <c r="AP8" s="62"/>
      <c r="AQ8" s="62"/>
      <c r="AR8" s="62"/>
      <c r="AS8" s="62"/>
      <c r="AT8" s="62"/>
      <c r="AU8" s="72">
        <f t="shared" ref="AU8:AU45" si="5">SUM(AQ8:AT8)/4</f>
        <v>0</v>
      </c>
      <c r="AV8" s="73">
        <f t="shared" ref="AV8:AV10" si="6">SUM(AU8,AQ8,AL8,AH8,AD8,AA8,Z8,Y8,X8,U8)/10</f>
        <v>0</v>
      </c>
    </row>
    <row r="9" ht="15.75" customHeight="1">
      <c r="A9" s="153">
        <v>2.0</v>
      </c>
      <c r="B9" s="154"/>
      <c r="C9" s="154"/>
      <c r="D9" s="154"/>
      <c r="E9" s="154"/>
      <c r="F9" s="63"/>
      <c r="G9" s="62"/>
      <c r="H9" s="62"/>
      <c r="I9" s="63"/>
      <c r="J9" s="62"/>
      <c r="K9" s="62"/>
      <c r="L9" s="62"/>
      <c r="M9" s="62"/>
      <c r="N9" s="63"/>
      <c r="O9" s="63"/>
      <c r="P9" s="62"/>
      <c r="Q9" s="63"/>
      <c r="R9" s="66">
        <f t="shared" si="1"/>
        <v>0</v>
      </c>
      <c r="S9" s="63"/>
      <c r="T9" s="63"/>
      <c r="U9" s="63"/>
      <c r="V9" s="63"/>
      <c r="W9" s="63"/>
      <c r="X9" s="63"/>
      <c r="Y9" s="68">
        <f t="shared" ref="Y9:Y45" si="7">SUM(V9:X9)/3</f>
        <v>0</v>
      </c>
      <c r="Z9" s="63"/>
      <c r="AA9" s="62"/>
      <c r="AB9" s="63"/>
      <c r="AC9" s="63"/>
      <c r="AD9" s="62"/>
      <c r="AE9" s="69">
        <f t="shared" si="2"/>
        <v>0</v>
      </c>
      <c r="AF9" s="62"/>
      <c r="AG9" s="62"/>
      <c r="AH9" s="62"/>
      <c r="AI9" s="70">
        <f t="shared" si="3"/>
        <v>0</v>
      </c>
      <c r="AJ9" s="63"/>
      <c r="AK9" s="63"/>
      <c r="AL9" s="63"/>
      <c r="AM9" s="63"/>
      <c r="AN9" s="71">
        <f t="shared" si="4"/>
        <v>0</v>
      </c>
      <c r="AO9" s="62"/>
      <c r="AP9" s="62"/>
      <c r="AQ9" s="62"/>
      <c r="AR9" s="62"/>
      <c r="AS9" s="62"/>
      <c r="AT9" s="62"/>
      <c r="AU9" s="78">
        <f t="shared" si="5"/>
        <v>0</v>
      </c>
      <c r="AV9" s="79">
        <f t="shared" si="6"/>
        <v>0</v>
      </c>
    </row>
    <row r="10" ht="15.75" customHeight="1">
      <c r="A10" s="153">
        <v>3.0</v>
      </c>
      <c r="B10" s="154"/>
      <c r="C10" s="154"/>
      <c r="D10" s="154"/>
      <c r="E10" s="154"/>
      <c r="F10" s="63"/>
      <c r="G10" s="62"/>
      <c r="H10" s="62"/>
      <c r="I10" s="63"/>
      <c r="J10" s="62"/>
      <c r="K10" s="62"/>
      <c r="L10" s="62"/>
      <c r="M10" s="62"/>
      <c r="N10" s="63"/>
      <c r="O10" s="63"/>
      <c r="P10" s="62"/>
      <c r="Q10" s="63"/>
      <c r="R10" s="66">
        <f t="shared" si="1"/>
        <v>0</v>
      </c>
      <c r="S10" s="63"/>
      <c r="T10" s="63"/>
      <c r="U10" s="63"/>
      <c r="V10" s="63"/>
      <c r="W10" s="63"/>
      <c r="X10" s="63"/>
      <c r="Y10" s="68">
        <f t="shared" si="7"/>
        <v>0</v>
      </c>
      <c r="Z10" s="63"/>
      <c r="AA10" s="62"/>
      <c r="AB10" s="63"/>
      <c r="AC10" s="63"/>
      <c r="AD10" s="62"/>
      <c r="AE10" s="69">
        <f t="shared" si="2"/>
        <v>0</v>
      </c>
      <c r="AF10" s="62"/>
      <c r="AG10" s="62"/>
      <c r="AH10" s="62"/>
      <c r="AI10" s="70">
        <f t="shared" si="3"/>
        <v>0</v>
      </c>
      <c r="AJ10" s="63"/>
      <c r="AK10" s="63"/>
      <c r="AL10" s="63"/>
      <c r="AM10" s="63"/>
      <c r="AN10" s="71">
        <f t="shared" si="4"/>
        <v>0</v>
      </c>
      <c r="AO10" s="62"/>
      <c r="AP10" s="62"/>
      <c r="AQ10" s="62"/>
      <c r="AR10" s="62"/>
      <c r="AS10" s="62"/>
      <c r="AT10" s="62"/>
      <c r="AU10" s="78">
        <f t="shared" si="5"/>
        <v>0</v>
      </c>
      <c r="AV10" s="79">
        <f t="shared" si="6"/>
        <v>0</v>
      </c>
    </row>
    <row r="11" ht="15.75" customHeight="1">
      <c r="A11" s="153">
        <v>4.0</v>
      </c>
      <c r="B11" s="154"/>
      <c r="C11" s="154"/>
      <c r="D11" s="154"/>
      <c r="E11" s="154"/>
      <c r="F11" s="63"/>
      <c r="G11" s="62"/>
      <c r="H11" s="62"/>
      <c r="I11" s="63"/>
      <c r="J11" s="62"/>
      <c r="K11" s="62"/>
      <c r="L11" s="62"/>
      <c r="M11" s="62"/>
      <c r="N11" s="63"/>
      <c r="O11" s="63"/>
      <c r="P11" s="62"/>
      <c r="Q11" s="63"/>
      <c r="R11" s="66">
        <f t="shared" si="1"/>
        <v>0</v>
      </c>
      <c r="S11" s="63"/>
      <c r="T11" s="63"/>
      <c r="U11" s="63"/>
      <c r="V11" s="63"/>
      <c r="W11" s="63"/>
      <c r="X11" s="63"/>
      <c r="Y11" s="68">
        <f t="shared" si="7"/>
        <v>0</v>
      </c>
      <c r="Z11" s="63"/>
      <c r="AA11" s="63"/>
      <c r="AB11" s="63"/>
      <c r="AC11" s="63"/>
      <c r="AD11" s="63"/>
      <c r="AE11" s="69">
        <f t="shared" si="2"/>
        <v>0</v>
      </c>
      <c r="AF11" s="63"/>
      <c r="AG11" s="63"/>
      <c r="AH11" s="63"/>
      <c r="AI11" s="70">
        <f t="shared" si="3"/>
        <v>0</v>
      </c>
      <c r="AJ11" s="63"/>
      <c r="AK11" s="63"/>
      <c r="AL11" s="63"/>
      <c r="AM11" s="63"/>
      <c r="AN11" s="71">
        <f t="shared" si="4"/>
        <v>0</v>
      </c>
      <c r="AO11" s="62"/>
      <c r="AP11" s="62"/>
      <c r="AQ11" s="62"/>
      <c r="AR11" s="62"/>
      <c r="AS11" s="62"/>
      <c r="AT11" s="62"/>
      <c r="AU11" s="78">
        <f t="shared" si="5"/>
        <v>0</v>
      </c>
      <c r="AV11" s="79">
        <v>2.0</v>
      </c>
    </row>
    <row r="12" ht="15.75" customHeight="1">
      <c r="A12" s="153">
        <v>5.0</v>
      </c>
      <c r="B12" s="154"/>
      <c r="C12" s="154"/>
      <c r="D12" s="154"/>
      <c r="E12" s="154"/>
      <c r="F12" s="63"/>
      <c r="G12" s="62"/>
      <c r="H12" s="62"/>
      <c r="I12" s="63"/>
      <c r="J12" s="62"/>
      <c r="K12" s="62"/>
      <c r="L12" s="62"/>
      <c r="M12" s="62"/>
      <c r="N12" s="63"/>
      <c r="O12" s="63"/>
      <c r="P12" s="62"/>
      <c r="Q12" s="63"/>
      <c r="R12" s="66">
        <f t="shared" si="1"/>
        <v>0</v>
      </c>
      <c r="S12" s="63"/>
      <c r="T12" s="63"/>
      <c r="U12" s="63"/>
      <c r="V12" s="63"/>
      <c r="W12" s="63"/>
      <c r="X12" s="63"/>
      <c r="Y12" s="68">
        <f t="shared" si="7"/>
        <v>0</v>
      </c>
      <c r="Z12" s="63"/>
      <c r="AA12" s="62"/>
      <c r="AB12" s="63"/>
      <c r="AC12" s="63"/>
      <c r="AD12" s="62"/>
      <c r="AE12" s="69">
        <f t="shared" si="2"/>
        <v>0</v>
      </c>
      <c r="AF12" s="62"/>
      <c r="AG12" s="62"/>
      <c r="AH12" s="62"/>
      <c r="AI12" s="70">
        <f t="shared" si="3"/>
        <v>0</v>
      </c>
      <c r="AJ12" s="63"/>
      <c r="AK12" s="63"/>
      <c r="AL12" s="63"/>
      <c r="AM12" s="63"/>
      <c r="AN12" s="71">
        <f t="shared" si="4"/>
        <v>0</v>
      </c>
      <c r="AO12" s="62"/>
      <c r="AP12" s="62"/>
      <c r="AQ12" s="62"/>
      <c r="AR12" s="62"/>
      <c r="AS12" s="62"/>
      <c r="AT12" s="62"/>
      <c r="AU12" s="78">
        <f t="shared" si="5"/>
        <v>0</v>
      </c>
      <c r="AV12" s="79">
        <f t="shared" ref="AV12:AV45" si="8">SUM(AU12,AQ12,AL12,AH12,AD12,AA12,Z12,Y12,X12,U12)/10</f>
        <v>0</v>
      </c>
    </row>
    <row r="13" ht="15.75" customHeight="1">
      <c r="A13" s="153">
        <v>6.0</v>
      </c>
      <c r="B13" s="154"/>
      <c r="C13" s="154"/>
      <c r="D13" s="154"/>
      <c r="E13" s="154"/>
      <c r="F13" s="63"/>
      <c r="G13" s="62"/>
      <c r="H13" s="62"/>
      <c r="I13" s="63"/>
      <c r="J13" s="62"/>
      <c r="K13" s="62"/>
      <c r="L13" s="62"/>
      <c r="M13" s="62"/>
      <c r="N13" s="63"/>
      <c r="O13" s="63"/>
      <c r="P13" s="62"/>
      <c r="Q13" s="63"/>
      <c r="R13" s="66">
        <f t="shared" si="1"/>
        <v>0</v>
      </c>
      <c r="S13" s="63"/>
      <c r="T13" s="63"/>
      <c r="U13" s="63"/>
      <c r="V13" s="63"/>
      <c r="W13" s="63"/>
      <c r="X13" s="63"/>
      <c r="Y13" s="68">
        <f t="shared" si="7"/>
        <v>0</v>
      </c>
      <c r="Z13" s="63"/>
      <c r="AA13" s="62"/>
      <c r="AB13" s="63"/>
      <c r="AC13" s="63"/>
      <c r="AD13" s="62"/>
      <c r="AE13" s="69">
        <f t="shared" si="2"/>
        <v>0</v>
      </c>
      <c r="AF13" s="62"/>
      <c r="AG13" s="62"/>
      <c r="AH13" s="62"/>
      <c r="AI13" s="70">
        <f t="shared" si="3"/>
        <v>0</v>
      </c>
      <c r="AJ13" s="63"/>
      <c r="AK13" s="63"/>
      <c r="AL13" s="63"/>
      <c r="AM13" s="63"/>
      <c r="AN13" s="71">
        <f t="shared" si="4"/>
        <v>0</v>
      </c>
      <c r="AO13" s="62"/>
      <c r="AP13" s="62"/>
      <c r="AQ13" s="62"/>
      <c r="AR13" s="62"/>
      <c r="AS13" s="62"/>
      <c r="AT13" s="62"/>
      <c r="AU13" s="78">
        <f t="shared" si="5"/>
        <v>0</v>
      </c>
      <c r="AV13" s="79">
        <f t="shared" si="8"/>
        <v>0</v>
      </c>
    </row>
    <row r="14" ht="15.75" customHeight="1">
      <c r="A14" s="153">
        <v>7.0</v>
      </c>
      <c r="B14" s="154"/>
      <c r="C14" s="154"/>
      <c r="D14" s="154"/>
      <c r="E14" s="154"/>
      <c r="F14" s="63"/>
      <c r="G14" s="62"/>
      <c r="H14" s="62"/>
      <c r="I14" s="63"/>
      <c r="J14" s="62"/>
      <c r="K14" s="62"/>
      <c r="L14" s="62"/>
      <c r="M14" s="62"/>
      <c r="N14" s="63"/>
      <c r="O14" s="63"/>
      <c r="P14" s="62"/>
      <c r="Q14" s="63"/>
      <c r="R14" s="66">
        <f t="shared" si="1"/>
        <v>0</v>
      </c>
      <c r="S14" s="63"/>
      <c r="T14" s="63"/>
      <c r="U14" s="63"/>
      <c r="V14" s="63"/>
      <c r="W14" s="63"/>
      <c r="X14" s="63"/>
      <c r="Y14" s="68">
        <f t="shared" si="7"/>
        <v>0</v>
      </c>
      <c r="Z14" s="63"/>
      <c r="AA14" s="62"/>
      <c r="AB14" s="63"/>
      <c r="AC14" s="63"/>
      <c r="AD14" s="62"/>
      <c r="AE14" s="69">
        <f t="shared" si="2"/>
        <v>0</v>
      </c>
      <c r="AF14" s="62"/>
      <c r="AG14" s="62"/>
      <c r="AH14" s="62"/>
      <c r="AI14" s="70">
        <f t="shared" si="3"/>
        <v>0</v>
      </c>
      <c r="AJ14" s="63"/>
      <c r="AK14" s="63"/>
      <c r="AL14" s="63"/>
      <c r="AM14" s="63"/>
      <c r="AN14" s="71">
        <f t="shared" si="4"/>
        <v>0</v>
      </c>
      <c r="AO14" s="62"/>
      <c r="AP14" s="62"/>
      <c r="AQ14" s="62"/>
      <c r="AR14" s="62"/>
      <c r="AS14" s="62"/>
      <c r="AT14" s="62"/>
      <c r="AU14" s="78">
        <f t="shared" si="5"/>
        <v>0</v>
      </c>
      <c r="AV14" s="79">
        <f t="shared" si="8"/>
        <v>0</v>
      </c>
    </row>
    <row r="15" ht="15.75" customHeight="1">
      <c r="A15" s="153">
        <v>8.0</v>
      </c>
      <c r="B15" s="154"/>
      <c r="C15" s="154"/>
      <c r="D15" s="154"/>
      <c r="E15" s="154"/>
      <c r="F15" s="63"/>
      <c r="G15" s="62"/>
      <c r="H15" s="62"/>
      <c r="I15" s="63"/>
      <c r="J15" s="62"/>
      <c r="K15" s="62"/>
      <c r="L15" s="62"/>
      <c r="M15" s="62"/>
      <c r="N15" s="63"/>
      <c r="O15" s="63"/>
      <c r="P15" s="62"/>
      <c r="Q15" s="63"/>
      <c r="R15" s="66">
        <f t="shared" si="1"/>
        <v>0</v>
      </c>
      <c r="S15" s="63"/>
      <c r="T15" s="63"/>
      <c r="U15" s="63"/>
      <c r="V15" s="63"/>
      <c r="W15" s="63"/>
      <c r="X15" s="63"/>
      <c r="Y15" s="68">
        <f t="shared" si="7"/>
        <v>0</v>
      </c>
      <c r="Z15" s="63"/>
      <c r="AA15" s="62"/>
      <c r="AB15" s="63"/>
      <c r="AC15" s="63"/>
      <c r="AD15" s="62"/>
      <c r="AE15" s="69">
        <f t="shared" si="2"/>
        <v>0</v>
      </c>
      <c r="AF15" s="62"/>
      <c r="AG15" s="62"/>
      <c r="AH15" s="62"/>
      <c r="AI15" s="70">
        <f t="shared" si="3"/>
        <v>0</v>
      </c>
      <c r="AJ15" s="63"/>
      <c r="AK15" s="63"/>
      <c r="AL15" s="63"/>
      <c r="AM15" s="63"/>
      <c r="AN15" s="71">
        <f t="shared" si="4"/>
        <v>0</v>
      </c>
      <c r="AO15" s="62"/>
      <c r="AP15" s="62"/>
      <c r="AQ15" s="62"/>
      <c r="AR15" s="62"/>
      <c r="AS15" s="62"/>
      <c r="AT15" s="62"/>
      <c r="AU15" s="78">
        <f t="shared" si="5"/>
        <v>0</v>
      </c>
      <c r="AV15" s="79">
        <f t="shared" si="8"/>
        <v>0</v>
      </c>
    </row>
    <row r="16" ht="15.75" customHeight="1">
      <c r="A16" s="153">
        <v>9.0</v>
      </c>
      <c r="B16" s="154"/>
      <c r="C16" s="154"/>
      <c r="D16" s="154"/>
      <c r="E16" s="154"/>
      <c r="F16" s="63"/>
      <c r="G16" s="62"/>
      <c r="H16" s="62"/>
      <c r="I16" s="63"/>
      <c r="J16" s="62"/>
      <c r="K16" s="62"/>
      <c r="L16" s="62"/>
      <c r="M16" s="62"/>
      <c r="N16" s="63"/>
      <c r="O16" s="63"/>
      <c r="P16" s="62"/>
      <c r="Q16" s="63"/>
      <c r="R16" s="66">
        <f t="shared" si="1"/>
        <v>0</v>
      </c>
      <c r="S16" s="63"/>
      <c r="T16" s="63"/>
      <c r="U16" s="63"/>
      <c r="V16" s="63"/>
      <c r="W16" s="63"/>
      <c r="X16" s="63"/>
      <c r="Y16" s="68">
        <f t="shared" si="7"/>
        <v>0</v>
      </c>
      <c r="Z16" s="63"/>
      <c r="AA16" s="63"/>
      <c r="AB16" s="63"/>
      <c r="AC16" s="63"/>
      <c r="AD16" s="63"/>
      <c r="AE16" s="69">
        <f t="shared" si="2"/>
        <v>0</v>
      </c>
      <c r="AF16" s="63"/>
      <c r="AG16" s="63"/>
      <c r="AH16" s="63"/>
      <c r="AI16" s="70">
        <f t="shared" si="3"/>
        <v>0</v>
      </c>
      <c r="AJ16" s="63"/>
      <c r="AK16" s="63"/>
      <c r="AL16" s="63"/>
      <c r="AM16" s="63"/>
      <c r="AN16" s="71">
        <f t="shared" si="4"/>
        <v>0</v>
      </c>
      <c r="AO16" s="63"/>
      <c r="AP16" s="63"/>
      <c r="AQ16" s="63"/>
      <c r="AR16" s="63"/>
      <c r="AS16" s="63"/>
      <c r="AT16" s="63"/>
      <c r="AU16" s="78">
        <f t="shared" si="5"/>
        <v>0</v>
      </c>
      <c r="AV16" s="79">
        <f t="shared" si="8"/>
        <v>0</v>
      </c>
    </row>
    <row r="17" ht="15.75" customHeight="1">
      <c r="A17" s="153">
        <v>10.0</v>
      </c>
      <c r="B17" s="154"/>
      <c r="C17" s="154"/>
      <c r="D17" s="154"/>
      <c r="E17" s="154"/>
      <c r="F17" s="63"/>
      <c r="G17" s="62"/>
      <c r="H17" s="62"/>
      <c r="I17" s="63"/>
      <c r="J17" s="62"/>
      <c r="K17" s="62"/>
      <c r="L17" s="62"/>
      <c r="M17" s="62"/>
      <c r="N17" s="63"/>
      <c r="O17" s="63"/>
      <c r="P17" s="62"/>
      <c r="Q17" s="63"/>
      <c r="R17" s="66">
        <f t="shared" si="1"/>
        <v>0</v>
      </c>
      <c r="S17" s="162"/>
      <c r="T17" s="162"/>
      <c r="U17" s="162"/>
      <c r="V17" s="162"/>
      <c r="W17" s="162"/>
      <c r="X17" s="162"/>
      <c r="Y17" s="68">
        <f t="shared" si="7"/>
        <v>0</v>
      </c>
      <c r="Z17" s="63"/>
      <c r="AA17" s="62"/>
      <c r="AB17" s="63"/>
      <c r="AC17" s="63"/>
      <c r="AD17" s="62"/>
      <c r="AE17" s="69">
        <f t="shared" si="2"/>
        <v>0</v>
      </c>
      <c r="AF17" s="62"/>
      <c r="AG17" s="62"/>
      <c r="AH17" s="62"/>
      <c r="AI17" s="70">
        <f t="shared" si="3"/>
        <v>0</v>
      </c>
      <c r="AJ17" s="63"/>
      <c r="AK17" s="63"/>
      <c r="AL17" s="63"/>
      <c r="AM17" s="63"/>
      <c r="AN17" s="71">
        <f t="shared" si="4"/>
        <v>0</v>
      </c>
      <c r="AO17" s="62"/>
      <c r="AP17" s="62"/>
      <c r="AQ17" s="62"/>
      <c r="AR17" s="62"/>
      <c r="AS17" s="62"/>
      <c r="AT17" s="62"/>
      <c r="AU17" s="78">
        <f t="shared" si="5"/>
        <v>0</v>
      </c>
      <c r="AV17" s="79">
        <f t="shared" si="8"/>
        <v>0</v>
      </c>
    </row>
    <row r="18" ht="15.75" customHeight="1">
      <c r="A18" s="153">
        <v>11.0</v>
      </c>
      <c r="B18" s="154"/>
      <c r="C18" s="154"/>
      <c r="D18" s="154"/>
      <c r="E18" s="154"/>
      <c r="F18" s="63"/>
      <c r="G18" s="62"/>
      <c r="H18" s="62"/>
      <c r="I18" s="63"/>
      <c r="J18" s="62"/>
      <c r="K18" s="62"/>
      <c r="L18" s="62"/>
      <c r="M18" s="62"/>
      <c r="N18" s="63"/>
      <c r="O18" s="63"/>
      <c r="P18" s="62"/>
      <c r="Q18" s="63"/>
      <c r="R18" s="66">
        <f t="shared" si="1"/>
        <v>0</v>
      </c>
      <c r="S18" s="63"/>
      <c r="T18" s="63"/>
      <c r="U18" s="63"/>
      <c r="V18" s="63"/>
      <c r="W18" s="63"/>
      <c r="X18" s="63"/>
      <c r="Y18" s="68">
        <f t="shared" si="7"/>
        <v>0</v>
      </c>
      <c r="Z18" s="63"/>
      <c r="AA18" s="62"/>
      <c r="AB18" s="63"/>
      <c r="AC18" s="63"/>
      <c r="AD18" s="62"/>
      <c r="AE18" s="69">
        <f t="shared" si="2"/>
        <v>0</v>
      </c>
      <c r="AF18" s="62"/>
      <c r="AG18" s="62"/>
      <c r="AH18" s="62"/>
      <c r="AI18" s="70">
        <f t="shared" si="3"/>
        <v>0</v>
      </c>
      <c r="AJ18" s="63"/>
      <c r="AK18" s="63"/>
      <c r="AL18" s="63"/>
      <c r="AM18" s="63"/>
      <c r="AN18" s="71">
        <f t="shared" si="4"/>
        <v>0</v>
      </c>
      <c r="AO18" s="62"/>
      <c r="AP18" s="62"/>
      <c r="AQ18" s="62"/>
      <c r="AR18" s="62"/>
      <c r="AS18" s="62"/>
      <c r="AT18" s="62"/>
      <c r="AU18" s="78">
        <f t="shared" si="5"/>
        <v>0</v>
      </c>
      <c r="AV18" s="79">
        <f t="shared" si="8"/>
        <v>0</v>
      </c>
    </row>
    <row r="19" ht="15.75" customHeight="1">
      <c r="A19" s="153">
        <v>12.0</v>
      </c>
      <c r="B19" s="154"/>
      <c r="C19" s="154"/>
      <c r="D19" s="154"/>
      <c r="E19" s="154"/>
      <c r="F19" s="63"/>
      <c r="G19" s="62"/>
      <c r="H19" s="62"/>
      <c r="I19" s="63"/>
      <c r="J19" s="62"/>
      <c r="K19" s="62"/>
      <c r="L19" s="62"/>
      <c r="M19" s="62"/>
      <c r="N19" s="63"/>
      <c r="O19" s="63"/>
      <c r="P19" s="62"/>
      <c r="Q19" s="63"/>
      <c r="R19" s="66">
        <f t="shared" si="1"/>
        <v>0</v>
      </c>
      <c r="S19" s="63"/>
      <c r="T19" s="63"/>
      <c r="U19" s="63"/>
      <c r="V19" s="63"/>
      <c r="W19" s="63"/>
      <c r="X19" s="63"/>
      <c r="Y19" s="68">
        <f t="shared" si="7"/>
        <v>0</v>
      </c>
      <c r="Z19" s="63"/>
      <c r="AA19" s="62"/>
      <c r="AB19" s="63"/>
      <c r="AC19" s="63"/>
      <c r="AD19" s="62"/>
      <c r="AE19" s="69">
        <f t="shared" si="2"/>
        <v>0</v>
      </c>
      <c r="AF19" s="62"/>
      <c r="AG19" s="62"/>
      <c r="AH19" s="62"/>
      <c r="AI19" s="70">
        <f t="shared" si="3"/>
        <v>0</v>
      </c>
      <c r="AJ19" s="63"/>
      <c r="AK19" s="63"/>
      <c r="AL19" s="63"/>
      <c r="AM19" s="63"/>
      <c r="AN19" s="71">
        <f t="shared" si="4"/>
        <v>0</v>
      </c>
      <c r="AO19" s="62"/>
      <c r="AP19" s="62"/>
      <c r="AQ19" s="62"/>
      <c r="AR19" s="62"/>
      <c r="AS19" s="62"/>
      <c r="AT19" s="62"/>
      <c r="AU19" s="78">
        <f t="shared" si="5"/>
        <v>0</v>
      </c>
      <c r="AV19" s="79">
        <f t="shared" si="8"/>
        <v>0</v>
      </c>
    </row>
    <row r="20" ht="15.75" customHeight="1">
      <c r="A20" s="153">
        <v>13.0</v>
      </c>
      <c r="B20" s="154"/>
      <c r="C20" s="154"/>
      <c r="D20" s="154"/>
      <c r="E20" s="154"/>
      <c r="F20" s="63"/>
      <c r="G20" s="62"/>
      <c r="H20" s="62"/>
      <c r="I20" s="63"/>
      <c r="J20" s="62"/>
      <c r="K20" s="62"/>
      <c r="L20" s="62"/>
      <c r="M20" s="62"/>
      <c r="N20" s="63"/>
      <c r="O20" s="63"/>
      <c r="P20" s="62"/>
      <c r="Q20" s="63"/>
      <c r="R20" s="66">
        <f t="shared" si="1"/>
        <v>0</v>
      </c>
      <c r="S20" s="63"/>
      <c r="T20" s="63"/>
      <c r="U20" s="63"/>
      <c r="V20" s="63"/>
      <c r="W20" s="63"/>
      <c r="X20" s="63"/>
      <c r="Y20" s="68">
        <f t="shared" si="7"/>
        <v>0</v>
      </c>
      <c r="Z20" s="63"/>
      <c r="AA20" s="63"/>
      <c r="AB20" s="63"/>
      <c r="AC20" s="63"/>
      <c r="AD20" s="63"/>
      <c r="AE20" s="69">
        <f t="shared" si="2"/>
        <v>0</v>
      </c>
      <c r="AF20" s="62"/>
      <c r="AG20" s="62"/>
      <c r="AH20" s="62"/>
      <c r="AI20" s="70">
        <f t="shared" si="3"/>
        <v>0</v>
      </c>
      <c r="AJ20" s="63"/>
      <c r="AK20" s="63"/>
      <c r="AL20" s="63"/>
      <c r="AM20" s="63"/>
      <c r="AN20" s="71">
        <f t="shared" si="4"/>
        <v>0</v>
      </c>
      <c r="AO20" s="62"/>
      <c r="AP20" s="62"/>
      <c r="AQ20" s="62"/>
      <c r="AR20" s="62"/>
      <c r="AS20" s="62"/>
      <c r="AT20" s="62"/>
      <c r="AU20" s="78">
        <f t="shared" si="5"/>
        <v>0</v>
      </c>
      <c r="AV20" s="79">
        <f t="shared" si="8"/>
        <v>0</v>
      </c>
    </row>
    <row r="21" ht="15.75" customHeight="1">
      <c r="A21" s="153">
        <v>14.0</v>
      </c>
      <c r="B21" s="154"/>
      <c r="C21" s="154"/>
      <c r="D21" s="154"/>
      <c r="E21" s="154"/>
      <c r="F21" s="63"/>
      <c r="G21" s="62"/>
      <c r="H21" s="62"/>
      <c r="I21" s="63"/>
      <c r="J21" s="62"/>
      <c r="K21" s="62"/>
      <c r="L21" s="62"/>
      <c r="M21" s="62"/>
      <c r="N21" s="63"/>
      <c r="O21" s="63"/>
      <c r="P21" s="62"/>
      <c r="Q21" s="63"/>
      <c r="R21" s="66">
        <f t="shared" si="1"/>
        <v>0</v>
      </c>
      <c r="S21" s="63"/>
      <c r="T21" s="63"/>
      <c r="U21" s="63"/>
      <c r="V21" s="63"/>
      <c r="W21" s="63"/>
      <c r="X21" s="63"/>
      <c r="Y21" s="68">
        <f t="shared" si="7"/>
        <v>0</v>
      </c>
      <c r="Z21" s="63"/>
      <c r="AA21" s="62"/>
      <c r="AB21" s="63"/>
      <c r="AC21" s="63"/>
      <c r="AD21" s="62"/>
      <c r="AE21" s="69">
        <f t="shared" si="2"/>
        <v>0</v>
      </c>
      <c r="AF21" s="62"/>
      <c r="AG21" s="62"/>
      <c r="AH21" s="62"/>
      <c r="AI21" s="70">
        <f t="shared" si="3"/>
        <v>0</v>
      </c>
      <c r="AJ21" s="63"/>
      <c r="AK21" s="63"/>
      <c r="AL21" s="63"/>
      <c r="AM21" s="63"/>
      <c r="AN21" s="71">
        <f t="shared" si="4"/>
        <v>0</v>
      </c>
      <c r="AO21" s="62"/>
      <c r="AP21" s="62"/>
      <c r="AQ21" s="62"/>
      <c r="AR21" s="62"/>
      <c r="AS21" s="62"/>
      <c r="AT21" s="62"/>
      <c r="AU21" s="78">
        <f t="shared" si="5"/>
        <v>0</v>
      </c>
      <c r="AV21" s="79">
        <f t="shared" si="8"/>
        <v>0</v>
      </c>
    </row>
    <row r="22" ht="15.75" customHeight="1">
      <c r="A22" s="153">
        <v>15.0</v>
      </c>
      <c r="B22" s="154"/>
      <c r="C22" s="154"/>
      <c r="D22" s="154"/>
      <c r="E22" s="154"/>
      <c r="F22" s="63"/>
      <c r="G22" s="62"/>
      <c r="H22" s="62"/>
      <c r="I22" s="63"/>
      <c r="J22" s="62"/>
      <c r="K22" s="62"/>
      <c r="L22" s="62"/>
      <c r="M22" s="62"/>
      <c r="N22" s="63"/>
      <c r="O22" s="63"/>
      <c r="P22" s="62"/>
      <c r="Q22" s="63"/>
      <c r="R22" s="66">
        <f t="shared" si="1"/>
        <v>0</v>
      </c>
      <c r="S22" s="63"/>
      <c r="T22" s="63"/>
      <c r="U22" s="162"/>
      <c r="V22" s="162"/>
      <c r="W22" s="63"/>
      <c r="X22" s="63"/>
      <c r="Y22" s="68">
        <f t="shared" si="7"/>
        <v>0</v>
      </c>
      <c r="Z22" s="63"/>
      <c r="AA22" s="63"/>
      <c r="AB22" s="63"/>
      <c r="AC22" s="63"/>
      <c r="AD22" s="63"/>
      <c r="AE22" s="69">
        <f t="shared" si="2"/>
        <v>0</v>
      </c>
      <c r="AF22" s="63"/>
      <c r="AG22" s="63"/>
      <c r="AH22" s="63"/>
      <c r="AI22" s="70">
        <f t="shared" si="3"/>
        <v>0</v>
      </c>
      <c r="AJ22" s="63"/>
      <c r="AK22" s="63"/>
      <c r="AL22" s="63"/>
      <c r="AM22" s="63"/>
      <c r="AN22" s="71">
        <f t="shared" si="4"/>
        <v>0</v>
      </c>
      <c r="AO22" s="63"/>
      <c r="AP22" s="63"/>
      <c r="AQ22" s="63"/>
      <c r="AR22" s="63"/>
      <c r="AS22" s="63"/>
      <c r="AT22" s="63"/>
      <c r="AU22" s="78">
        <f t="shared" si="5"/>
        <v>0</v>
      </c>
      <c r="AV22" s="79">
        <f t="shared" si="8"/>
        <v>0</v>
      </c>
    </row>
    <row r="23" ht="15.75" customHeight="1">
      <c r="A23" s="153">
        <v>16.0</v>
      </c>
      <c r="B23" s="154"/>
      <c r="C23" s="154"/>
      <c r="D23" s="154"/>
      <c r="E23" s="154"/>
      <c r="F23" s="63"/>
      <c r="G23" s="62"/>
      <c r="H23" s="62"/>
      <c r="I23" s="63"/>
      <c r="J23" s="62"/>
      <c r="K23" s="62"/>
      <c r="L23" s="62"/>
      <c r="M23" s="62"/>
      <c r="N23" s="63"/>
      <c r="O23" s="63"/>
      <c r="P23" s="62"/>
      <c r="Q23" s="63"/>
      <c r="R23" s="66">
        <f t="shared" si="1"/>
        <v>0</v>
      </c>
      <c r="S23" s="63"/>
      <c r="T23" s="63"/>
      <c r="U23" s="63"/>
      <c r="V23" s="63"/>
      <c r="W23" s="63"/>
      <c r="X23" s="63"/>
      <c r="Y23" s="68">
        <f t="shared" si="7"/>
        <v>0</v>
      </c>
      <c r="Z23" s="63"/>
      <c r="AA23" s="62"/>
      <c r="AB23" s="63"/>
      <c r="AC23" s="63"/>
      <c r="AD23" s="62"/>
      <c r="AE23" s="69">
        <f t="shared" si="2"/>
        <v>0</v>
      </c>
      <c r="AF23" s="62"/>
      <c r="AG23" s="62"/>
      <c r="AH23" s="62"/>
      <c r="AI23" s="70">
        <f t="shared" si="3"/>
        <v>0</v>
      </c>
      <c r="AJ23" s="63"/>
      <c r="AK23" s="63"/>
      <c r="AL23" s="63"/>
      <c r="AM23" s="63"/>
      <c r="AN23" s="71">
        <f t="shared" si="4"/>
        <v>0</v>
      </c>
      <c r="AO23" s="62"/>
      <c r="AP23" s="62"/>
      <c r="AQ23" s="62"/>
      <c r="AR23" s="62"/>
      <c r="AS23" s="62"/>
      <c r="AT23" s="62"/>
      <c r="AU23" s="78">
        <f t="shared" si="5"/>
        <v>0</v>
      </c>
      <c r="AV23" s="79">
        <f t="shared" si="8"/>
        <v>0</v>
      </c>
    </row>
    <row r="24" ht="15.75" customHeight="1">
      <c r="A24" s="153">
        <v>17.0</v>
      </c>
      <c r="B24" s="154"/>
      <c r="C24" s="154"/>
      <c r="D24" s="154"/>
      <c r="E24" s="154"/>
      <c r="F24" s="63"/>
      <c r="G24" s="62"/>
      <c r="H24" s="62"/>
      <c r="I24" s="63"/>
      <c r="J24" s="62"/>
      <c r="K24" s="62"/>
      <c r="L24" s="62"/>
      <c r="M24" s="62"/>
      <c r="N24" s="63"/>
      <c r="O24" s="63"/>
      <c r="P24" s="62"/>
      <c r="Q24" s="63"/>
      <c r="R24" s="66">
        <f t="shared" si="1"/>
        <v>0</v>
      </c>
      <c r="S24" s="63"/>
      <c r="T24" s="63"/>
      <c r="U24" s="63"/>
      <c r="V24" s="63"/>
      <c r="W24" s="63"/>
      <c r="X24" s="63"/>
      <c r="Y24" s="68">
        <f t="shared" si="7"/>
        <v>0</v>
      </c>
      <c r="Z24" s="63"/>
      <c r="AA24" s="62"/>
      <c r="AB24" s="63"/>
      <c r="AC24" s="63"/>
      <c r="AD24" s="62"/>
      <c r="AE24" s="69">
        <f t="shared" si="2"/>
        <v>0</v>
      </c>
      <c r="AF24" s="62"/>
      <c r="AG24" s="62"/>
      <c r="AH24" s="62"/>
      <c r="AI24" s="70">
        <f t="shared" si="3"/>
        <v>0</v>
      </c>
      <c r="AJ24" s="63"/>
      <c r="AK24" s="63"/>
      <c r="AL24" s="63"/>
      <c r="AM24" s="63"/>
      <c r="AN24" s="71">
        <f t="shared" si="4"/>
        <v>0</v>
      </c>
      <c r="AO24" s="62"/>
      <c r="AP24" s="62"/>
      <c r="AQ24" s="62"/>
      <c r="AR24" s="62"/>
      <c r="AS24" s="62"/>
      <c r="AT24" s="62"/>
      <c r="AU24" s="78">
        <f t="shared" si="5"/>
        <v>0</v>
      </c>
      <c r="AV24" s="79">
        <f t="shared" si="8"/>
        <v>0</v>
      </c>
    </row>
    <row r="25" ht="15.75" customHeight="1">
      <c r="A25" s="153">
        <v>18.0</v>
      </c>
      <c r="B25" s="154"/>
      <c r="C25" s="154"/>
      <c r="D25" s="154"/>
      <c r="E25" s="154"/>
      <c r="F25" s="63"/>
      <c r="G25" s="62"/>
      <c r="H25" s="62"/>
      <c r="I25" s="63"/>
      <c r="J25" s="62"/>
      <c r="K25" s="62"/>
      <c r="L25" s="62"/>
      <c r="M25" s="62"/>
      <c r="N25" s="63"/>
      <c r="O25" s="63"/>
      <c r="P25" s="62"/>
      <c r="Q25" s="63"/>
      <c r="R25" s="66">
        <f t="shared" si="1"/>
        <v>0</v>
      </c>
      <c r="S25" s="63"/>
      <c r="T25" s="63"/>
      <c r="U25" s="63"/>
      <c r="V25" s="63"/>
      <c r="W25" s="63"/>
      <c r="X25" s="63"/>
      <c r="Y25" s="68">
        <f t="shared" si="7"/>
        <v>0</v>
      </c>
      <c r="Z25" s="63"/>
      <c r="AA25" s="63"/>
      <c r="AB25" s="63"/>
      <c r="AC25" s="63"/>
      <c r="AD25" s="63"/>
      <c r="AE25" s="69">
        <f t="shared" si="2"/>
        <v>0</v>
      </c>
      <c r="AF25" s="63"/>
      <c r="AG25" s="63"/>
      <c r="AH25" s="63"/>
      <c r="AI25" s="70">
        <f t="shared" si="3"/>
        <v>0</v>
      </c>
      <c r="AJ25" s="63"/>
      <c r="AK25" s="63"/>
      <c r="AL25" s="63"/>
      <c r="AM25" s="63"/>
      <c r="AN25" s="71">
        <f t="shared" si="4"/>
        <v>0</v>
      </c>
      <c r="AO25" s="63"/>
      <c r="AP25" s="63"/>
      <c r="AQ25" s="63"/>
      <c r="AR25" s="63"/>
      <c r="AS25" s="63"/>
      <c r="AT25" s="63"/>
      <c r="AU25" s="78">
        <f t="shared" si="5"/>
        <v>0</v>
      </c>
      <c r="AV25" s="79">
        <f t="shared" si="8"/>
        <v>0</v>
      </c>
    </row>
    <row r="26" ht="15.75" customHeight="1">
      <c r="A26" s="153">
        <v>19.0</v>
      </c>
      <c r="B26" s="154"/>
      <c r="C26" s="154"/>
      <c r="D26" s="154"/>
      <c r="E26" s="154"/>
      <c r="F26" s="63"/>
      <c r="G26" s="62"/>
      <c r="H26" s="62"/>
      <c r="I26" s="63"/>
      <c r="J26" s="62"/>
      <c r="K26" s="62"/>
      <c r="L26" s="62"/>
      <c r="M26" s="62"/>
      <c r="N26" s="63"/>
      <c r="O26" s="63"/>
      <c r="P26" s="62"/>
      <c r="Q26" s="63"/>
      <c r="R26" s="66">
        <f t="shared" si="1"/>
        <v>0</v>
      </c>
      <c r="S26" s="63"/>
      <c r="T26" s="63"/>
      <c r="U26" s="63"/>
      <c r="V26" s="63"/>
      <c r="W26" s="63"/>
      <c r="X26" s="63"/>
      <c r="Y26" s="68">
        <f t="shared" si="7"/>
        <v>0</v>
      </c>
      <c r="Z26" s="63"/>
      <c r="AA26" s="62"/>
      <c r="AB26" s="63"/>
      <c r="AC26" s="63"/>
      <c r="AD26" s="62"/>
      <c r="AE26" s="69">
        <f t="shared" si="2"/>
        <v>0</v>
      </c>
      <c r="AF26" s="62"/>
      <c r="AG26" s="62"/>
      <c r="AH26" s="62"/>
      <c r="AI26" s="70">
        <f t="shared" si="3"/>
        <v>0</v>
      </c>
      <c r="AJ26" s="63"/>
      <c r="AK26" s="63"/>
      <c r="AL26" s="63"/>
      <c r="AM26" s="63"/>
      <c r="AN26" s="71">
        <f t="shared" si="4"/>
        <v>0</v>
      </c>
      <c r="AO26" s="62"/>
      <c r="AP26" s="62"/>
      <c r="AQ26" s="62"/>
      <c r="AR26" s="62"/>
      <c r="AS26" s="62"/>
      <c r="AT26" s="62"/>
      <c r="AU26" s="78">
        <f t="shared" si="5"/>
        <v>0</v>
      </c>
      <c r="AV26" s="79">
        <f t="shared" si="8"/>
        <v>0</v>
      </c>
    </row>
    <row r="27" ht="15.75" customHeight="1">
      <c r="A27" s="153">
        <v>20.0</v>
      </c>
      <c r="B27" s="154"/>
      <c r="C27" s="154"/>
      <c r="D27" s="154"/>
      <c r="E27" s="154"/>
      <c r="F27" s="63"/>
      <c r="G27" s="62"/>
      <c r="H27" s="62"/>
      <c r="I27" s="63"/>
      <c r="J27" s="62"/>
      <c r="K27" s="62"/>
      <c r="L27" s="62"/>
      <c r="M27" s="62"/>
      <c r="N27" s="63"/>
      <c r="O27" s="63"/>
      <c r="P27" s="62"/>
      <c r="Q27" s="63"/>
      <c r="R27" s="66">
        <f t="shared" si="1"/>
        <v>0</v>
      </c>
      <c r="S27" s="63"/>
      <c r="T27" s="63"/>
      <c r="U27" s="63"/>
      <c r="V27" s="63"/>
      <c r="W27" s="63"/>
      <c r="X27" s="63"/>
      <c r="Y27" s="68">
        <f t="shared" si="7"/>
        <v>0</v>
      </c>
      <c r="Z27" s="63"/>
      <c r="AA27" s="62"/>
      <c r="AB27" s="63"/>
      <c r="AC27" s="63"/>
      <c r="AD27" s="62"/>
      <c r="AE27" s="69">
        <f t="shared" si="2"/>
        <v>0</v>
      </c>
      <c r="AF27" s="62"/>
      <c r="AG27" s="62"/>
      <c r="AH27" s="62"/>
      <c r="AI27" s="70">
        <f t="shared" si="3"/>
        <v>0</v>
      </c>
      <c r="AJ27" s="63"/>
      <c r="AK27" s="63"/>
      <c r="AL27" s="63"/>
      <c r="AM27" s="63"/>
      <c r="AN27" s="71">
        <f t="shared" si="4"/>
        <v>0</v>
      </c>
      <c r="AO27" s="62"/>
      <c r="AP27" s="62"/>
      <c r="AQ27" s="62"/>
      <c r="AR27" s="62"/>
      <c r="AS27" s="62"/>
      <c r="AT27" s="62"/>
      <c r="AU27" s="78">
        <f t="shared" si="5"/>
        <v>0</v>
      </c>
      <c r="AV27" s="79">
        <f t="shared" si="8"/>
        <v>0</v>
      </c>
    </row>
    <row r="28" ht="15.75" customHeight="1">
      <c r="A28" s="153">
        <v>21.0</v>
      </c>
      <c r="B28" s="154"/>
      <c r="C28" s="154"/>
      <c r="D28" s="154"/>
      <c r="E28" s="154"/>
      <c r="F28" s="63"/>
      <c r="G28" s="62"/>
      <c r="H28" s="62"/>
      <c r="I28" s="63"/>
      <c r="J28" s="62"/>
      <c r="K28" s="62"/>
      <c r="L28" s="62"/>
      <c r="M28" s="62"/>
      <c r="N28" s="63"/>
      <c r="O28" s="63"/>
      <c r="P28" s="62"/>
      <c r="Q28" s="63"/>
      <c r="R28" s="66">
        <f t="shared" si="1"/>
        <v>0</v>
      </c>
      <c r="S28" s="63"/>
      <c r="T28" s="63"/>
      <c r="U28" s="63"/>
      <c r="V28" s="63"/>
      <c r="W28" s="63"/>
      <c r="X28" s="63"/>
      <c r="Y28" s="68">
        <f t="shared" si="7"/>
        <v>0</v>
      </c>
      <c r="Z28" s="63"/>
      <c r="AA28" s="62"/>
      <c r="AB28" s="63"/>
      <c r="AC28" s="63"/>
      <c r="AD28" s="62"/>
      <c r="AE28" s="69">
        <f t="shared" si="2"/>
        <v>0</v>
      </c>
      <c r="AF28" s="62"/>
      <c r="AG28" s="62"/>
      <c r="AH28" s="62"/>
      <c r="AI28" s="70">
        <f t="shared" si="3"/>
        <v>0</v>
      </c>
      <c r="AJ28" s="63"/>
      <c r="AK28" s="63"/>
      <c r="AL28" s="63"/>
      <c r="AM28" s="63"/>
      <c r="AN28" s="71">
        <f t="shared" si="4"/>
        <v>0</v>
      </c>
      <c r="AO28" s="62"/>
      <c r="AP28" s="62"/>
      <c r="AQ28" s="62"/>
      <c r="AR28" s="62"/>
      <c r="AS28" s="62"/>
      <c r="AT28" s="62"/>
      <c r="AU28" s="78">
        <f t="shared" si="5"/>
        <v>0</v>
      </c>
      <c r="AV28" s="79">
        <f t="shared" si="8"/>
        <v>0</v>
      </c>
    </row>
    <row r="29" ht="15.75" customHeight="1">
      <c r="A29" s="153">
        <v>22.0</v>
      </c>
      <c r="B29" s="154"/>
      <c r="C29" s="154"/>
      <c r="D29" s="154"/>
      <c r="E29" s="154"/>
      <c r="F29" s="63"/>
      <c r="G29" s="62"/>
      <c r="H29" s="62"/>
      <c r="I29" s="63"/>
      <c r="J29" s="62"/>
      <c r="K29" s="62"/>
      <c r="L29" s="62"/>
      <c r="M29" s="62"/>
      <c r="N29" s="63"/>
      <c r="O29" s="63"/>
      <c r="P29" s="62"/>
      <c r="Q29" s="63"/>
      <c r="R29" s="66">
        <f t="shared" si="1"/>
        <v>0</v>
      </c>
      <c r="S29" s="63"/>
      <c r="T29" s="63"/>
      <c r="U29" s="63"/>
      <c r="V29" s="63"/>
      <c r="W29" s="63"/>
      <c r="X29" s="63"/>
      <c r="Y29" s="68">
        <f t="shared" si="7"/>
        <v>0</v>
      </c>
      <c r="Z29" s="63"/>
      <c r="AA29" s="63"/>
      <c r="AB29" s="63"/>
      <c r="AC29" s="63"/>
      <c r="AD29" s="63"/>
      <c r="AE29" s="69">
        <f t="shared" si="2"/>
        <v>0</v>
      </c>
      <c r="AF29" s="63"/>
      <c r="AG29" s="63"/>
      <c r="AH29" s="63"/>
      <c r="AI29" s="70">
        <f t="shared" si="3"/>
        <v>0</v>
      </c>
      <c r="AJ29" s="63"/>
      <c r="AK29" s="63"/>
      <c r="AL29" s="63"/>
      <c r="AM29" s="63"/>
      <c r="AN29" s="71">
        <f t="shared" si="4"/>
        <v>0</v>
      </c>
      <c r="AO29" s="63"/>
      <c r="AP29" s="63"/>
      <c r="AQ29" s="63"/>
      <c r="AR29" s="63"/>
      <c r="AS29" s="63"/>
      <c r="AT29" s="63"/>
      <c r="AU29" s="78">
        <f t="shared" si="5"/>
        <v>0</v>
      </c>
      <c r="AV29" s="79">
        <f t="shared" si="8"/>
        <v>0</v>
      </c>
    </row>
    <row r="30" ht="15.75" customHeight="1">
      <c r="A30" s="153">
        <v>23.0</v>
      </c>
      <c r="B30" s="154"/>
      <c r="C30" s="154"/>
      <c r="D30" s="154"/>
      <c r="E30" s="154"/>
      <c r="F30" s="63"/>
      <c r="G30" s="62"/>
      <c r="H30" s="62"/>
      <c r="I30" s="63"/>
      <c r="J30" s="62"/>
      <c r="K30" s="62"/>
      <c r="L30" s="62"/>
      <c r="M30" s="62"/>
      <c r="N30" s="63"/>
      <c r="O30" s="63"/>
      <c r="P30" s="62"/>
      <c r="Q30" s="63"/>
      <c r="R30" s="66">
        <f t="shared" si="1"/>
        <v>0</v>
      </c>
      <c r="S30" s="63"/>
      <c r="T30" s="63"/>
      <c r="U30" s="63"/>
      <c r="V30" s="63"/>
      <c r="W30" s="63"/>
      <c r="X30" s="63"/>
      <c r="Y30" s="68">
        <f t="shared" si="7"/>
        <v>0</v>
      </c>
      <c r="Z30" s="63"/>
      <c r="AA30" s="62"/>
      <c r="AB30" s="63"/>
      <c r="AC30" s="63"/>
      <c r="AD30" s="62"/>
      <c r="AE30" s="69">
        <f t="shared" si="2"/>
        <v>0</v>
      </c>
      <c r="AF30" s="62"/>
      <c r="AG30" s="62"/>
      <c r="AH30" s="62"/>
      <c r="AI30" s="70">
        <f t="shared" si="3"/>
        <v>0</v>
      </c>
      <c r="AJ30" s="63"/>
      <c r="AK30" s="63"/>
      <c r="AL30" s="63"/>
      <c r="AM30" s="63"/>
      <c r="AN30" s="71">
        <f t="shared" si="4"/>
        <v>0</v>
      </c>
      <c r="AO30" s="62"/>
      <c r="AP30" s="62"/>
      <c r="AQ30" s="62"/>
      <c r="AR30" s="62"/>
      <c r="AS30" s="62"/>
      <c r="AT30" s="62"/>
      <c r="AU30" s="78">
        <f t="shared" si="5"/>
        <v>0</v>
      </c>
      <c r="AV30" s="79">
        <f t="shared" si="8"/>
        <v>0</v>
      </c>
    </row>
    <row r="31" ht="15.75" customHeight="1">
      <c r="A31" s="153">
        <v>24.0</v>
      </c>
      <c r="B31" s="154"/>
      <c r="C31" s="154"/>
      <c r="D31" s="154"/>
      <c r="E31" s="154"/>
      <c r="F31" s="63"/>
      <c r="G31" s="62"/>
      <c r="H31" s="62"/>
      <c r="I31" s="63"/>
      <c r="J31" s="62"/>
      <c r="K31" s="62"/>
      <c r="L31" s="62"/>
      <c r="M31" s="62"/>
      <c r="N31" s="63"/>
      <c r="O31" s="63"/>
      <c r="P31" s="62"/>
      <c r="Q31" s="63"/>
      <c r="R31" s="66">
        <f t="shared" si="1"/>
        <v>0</v>
      </c>
      <c r="S31" s="63"/>
      <c r="T31" s="63"/>
      <c r="U31" s="63"/>
      <c r="V31" s="63"/>
      <c r="W31" s="63"/>
      <c r="X31" s="63"/>
      <c r="Y31" s="68">
        <f t="shared" si="7"/>
        <v>0</v>
      </c>
      <c r="Z31" s="63"/>
      <c r="AA31" s="63"/>
      <c r="AB31" s="63"/>
      <c r="AC31" s="63"/>
      <c r="AD31" s="63"/>
      <c r="AE31" s="69">
        <f t="shared" si="2"/>
        <v>0</v>
      </c>
      <c r="AF31" s="63"/>
      <c r="AG31" s="63"/>
      <c r="AH31" s="63"/>
      <c r="AI31" s="70">
        <f t="shared" si="3"/>
        <v>0</v>
      </c>
      <c r="AJ31" s="63"/>
      <c r="AK31" s="63"/>
      <c r="AL31" s="63"/>
      <c r="AM31" s="63"/>
      <c r="AN31" s="71">
        <f t="shared" si="4"/>
        <v>0</v>
      </c>
      <c r="AO31" s="63"/>
      <c r="AP31" s="63"/>
      <c r="AQ31" s="63"/>
      <c r="AR31" s="63"/>
      <c r="AS31" s="63"/>
      <c r="AT31" s="63"/>
      <c r="AU31" s="78">
        <f t="shared" si="5"/>
        <v>0</v>
      </c>
      <c r="AV31" s="79">
        <f t="shared" si="8"/>
        <v>0</v>
      </c>
    </row>
    <row r="32" ht="15.75" customHeight="1">
      <c r="A32" s="153">
        <v>25.0</v>
      </c>
      <c r="B32" s="154"/>
      <c r="C32" s="154"/>
      <c r="D32" s="154"/>
      <c r="E32" s="154"/>
      <c r="F32" s="63"/>
      <c r="G32" s="62"/>
      <c r="H32" s="62"/>
      <c r="I32" s="63"/>
      <c r="J32" s="62"/>
      <c r="K32" s="62"/>
      <c r="L32" s="62"/>
      <c r="M32" s="62"/>
      <c r="N32" s="63"/>
      <c r="O32" s="63"/>
      <c r="P32" s="62"/>
      <c r="Q32" s="63"/>
      <c r="R32" s="66">
        <f t="shared" si="1"/>
        <v>0</v>
      </c>
      <c r="S32" s="63"/>
      <c r="T32" s="63"/>
      <c r="U32" s="63"/>
      <c r="V32" s="63"/>
      <c r="W32" s="63"/>
      <c r="X32" s="63"/>
      <c r="Y32" s="68">
        <f t="shared" si="7"/>
        <v>0</v>
      </c>
      <c r="Z32" s="63"/>
      <c r="AA32" s="63"/>
      <c r="AB32" s="63"/>
      <c r="AC32" s="63"/>
      <c r="AD32" s="63"/>
      <c r="AE32" s="69">
        <f t="shared" si="2"/>
        <v>0</v>
      </c>
      <c r="AF32" s="63"/>
      <c r="AG32" s="63"/>
      <c r="AH32" s="63"/>
      <c r="AI32" s="70">
        <f t="shared" si="3"/>
        <v>0</v>
      </c>
      <c r="AJ32" s="63"/>
      <c r="AK32" s="63"/>
      <c r="AL32" s="63"/>
      <c r="AM32" s="63"/>
      <c r="AN32" s="71">
        <f t="shared" si="4"/>
        <v>0</v>
      </c>
      <c r="AO32" s="63"/>
      <c r="AP32" s="63"/>
      <c r="AQ32" s="63"/>
      <c r="AR32" s="63"/>
      <c r="AS32" s="63"/>
      <c r="AT32" s="63"/>
      <c r="AU32" s="78">
        <f t="shared" si="5"/>
        <v>0</v>
      </c>
      <c r="AV32" s="79">
        <f t="shared" si="8"/>
        <v>0</v>
      </c>
    </row>
    <row r="33" ht="15.75" customHeight="1">
      <c r="A33" s="153">
        <v>26.0</v>
      </c>
      <c r="B33" s="154"/>
      <c r="C33" s="154"/>
      <c r="D33" s="154"/>
      <c r="E33" s="154"/>
      <c r="F33" s="63"/>
      <c r="G33" s="62"/>
      <c r="H33" s="62"/>
      <c r="I33" s="63"/>
      <c r="J33" s="62"/>
      <c r="K33" s="62"/>
      <c r="L33" s="62"/>
      <c r="M33" s="62"/>
      <c r="N33" s="63"/>
      <c r="O33" s="63"/>
      <c r="P33" s="62"/>
      <c r="Q33" s="63"/>
      <c r="R33" s="66">
        <f t="shared" si="1"/>
        <v>0</v>
      </c>
      <c r="S33" s="63"/>
      <c r="T33" s="63"/>
      <c r="U33" s="63"/>
      <c r="V33" s="63"/>
      <c r="W33" s="63"/>
      <c r="X33" s="63"/>
      <c r="Y33" s="68">
        <f t="shared" si="7"/>
        <v>0</v>
      </c>
      <c r="Z33" s="63"/>
      <c r="AA33" s="63"/>
      <c r="AB33" s="63"/>
      <c r="AC33" s="63"/>
      <c r="AD33" s="63"/>
      <c r="AE33" s="69">
        <f t="shared" si="2"/>
        <v>0</v>
      </c>
      <c r="AF33" s="63"/>
      <c r="AG33" s="63"/>
      <c r="AH33" s="63"/>
      <c r="AI33" s="70">
        <f t="shared" si="3"/>
        <v>0</v>
      </c>
      <c r="AJ33" s="63"/>
      <c r="AK33" s="63"/>
      <c r="AL33" s="63"/>
      <c r="AM33" s="63"/>
      <c r="AN33" s="71">
        <f t="shared" si="4"/>
        <v>0</v>
      </c>
      <c r="AO33" s="63"/>
      <c r="AP33" s="63"/>
      <c r="AQ33" s="63"/>
      <c r="AR33" s="63"/>
      <c r="AS33" s="63"/>
      <c r="AT33" s="63"/>
      <c r="AU33" s="78">
        <f t="shared" si="5"/>
        <v>0</v>
      </c>
      <c r="AV33" s="79">
        <f t="shared" si="8"/>
        <v>0</v>
      </c>
    </row>
    <row r="34" ht="15.75" customHeight="1">
      <c r="A34" s="153">
        <v>27.0</v>
      </c>
      <c r="B34" s="154"/>
      <c r="C34" s="154"/>
      <c r="D34" s="154"/>
      <c r="E34" s="154"/>
      <c r="F34" s="63"/>
      <c r="G34" s="62"/>
      <c r="H34" s="62"/>
      <c r="I34" s="63"/>
      <c r="J34" s="62"/>
      <c r="K34" s="62"/>
      <c r="L34" s="62"/>
      <c r="M34" s="62"/>
      <c r="N34" s="63"/>
      <c r="O34" s="63"/>
      <c r="P34" s="62"/>
      <c r="Q34" s="63"/>
      <c r="R34" s="66">
        <f t="shared" si="1"/>
        <v>0</v>
      </c>
      <c r="S34" s="63"/>
      <c r="T34" s="63"/>
      <c r="U34" s="63"/>
      <c r="V34" s="63"/>
      <c r="W34" s="63"/>
      <c r="X34" s="63"/>
      <c r="Y34" s="68">
        <f t="shared" si="7"/>
        <v>0</v>
      </c>
      <c r="Z34" s="63"/>
      <c r="AA34" s="63"/>
      <c r="AB34" s="63"/>
      <c r="AC34" s="63"/>
      <c r="AD34" s="63"/>
      <c r="AE34" s="69">
        <f t="shared" si="2"/>
        <v>0</v>
      </c>
      <c r="AF34" s="62"/>
      <c r="AG34" s="62"/>
      <c r="AH34" s="62"/>
      <c r="AI34" s="70">
        <f t="shared" si="3"/>
        <v>0</v>
      </c>
      <c r="AJ34" s="63"/>
      <c r="AK34" s="63"/>
      <c r="AL34" s="63"/>
      <c r="AM34" s="63"/>
      <c r="AN34" s="71">
        <f t="shared" si="4"/>
        <v>0</v>
      </c>
      <c r="AO34" s="62"/>
      <c r="AP34" s="62"/>
      <c r="AQ34" s="62"/>
      <c r="AR34" s="62"/>
      <c r="AS34" s="62"/>
      <c r="AT34" s="62"/>
      <c r="AU34" s="78">
        <f t="shared" si="5"/>
        <v>0</v>
      </c>
      <c r="AV34" s="79">
        <f t="shared" si="8"/>
        <v>0</v>
      </c>
    </row>
    <row r="35" ht="15.75" customHeight="1">
      <c r="A35" s="153">
        <v>28.0</v>
      </c>
      <c r="B35" s="154"/>
      <c r="C35" s="154"/>
      <c r="D35" s="154"/>
      <c r="E35" s="154"/>
      <c r="F35" s="63"/>
      <c r="G35" s="62"/>
      <c r="H35" s="62"/>
      <c r="I35" s="63"/>
      <c r="J35" s="62"/>
      <c r="K35" s="62"/>
      <c r="L35" s="62"/>
      <c r="M35" s="62"/>
      <c r="N35" s="63"/>
      <c r="O35" s="63"/>
      <c r="P35" s="62"/>
      <c r="Q35" s="63"/>
      <c r="R35" s="66">
        <f t="shared" si="1"/>
        <v>0</v>
      </c>
      <c r="S35" s="63"/>
      <c r="T35" s="63"/>
      <c r="U35" s="63"/>
      <c r="V35" s="63"/>
      <c r="W35" s="63"/>
      <c r="X35" s="63"/>
      <c r="Y35" s="68">
        <f t="shared" si="7"/>
        <v>0</v>
      </c>
      <c r="Z35" s="63"/>
      <c r="AA35" s="62"/>
      <c r="AB35" s="63"/>
      <c r="AC35" s="63"/>
      <c r="AD35" s="62"/>
      <c r="AE35" s="69">
        <f t="shared" si="2"/>
        <v>0</v>
      </c>
      <c r="AF35" s="62"/>
      <c r="AG35" s="62"/>
      <c r="AH35" s="62"/>
      <c r="AI35" s="70">
        <f t="shared" si="3"/>
        <v>0</v>
      </c>
      <c r="AJ35" s="63"/>
      <c r="AK35" s="63"/>
      <c r="AL35" s="63"/>
      <c r="AM35" s="63"/>
      <c r="AN35" s="71">
        <f t="shared" si="4"/>
        <v>0</v>
      </c>
      <c r="AO35" s="62"/>
      <c r="AP35" s="62"/>
      <c r="AQ35" s="62"/>
      <c r="AR35" s="62"/>
      <c r="AS35" s="62"/>
      <c r="AT35" s="62"/>
      <c r="AU35" s="78">
        <f t="shared" si="5"/>
        <v>0</v>
      </c>
      <c r="AV35" s="79">
        <f t="shared" si="8"/>
        <v>0</v>
      </c>
    </row>
    <row r="36" ht="15.75" customHeight="1">
      <c r="A36" s="153">
        <v>29.0</v>
      </c>
      <c r="B36" s="154"/>
      <c r="C36" s="154"/>
      <c r="D36" s="154"/>
      <c r="E36" s="154"/>
      <c r="F36" s="63"/>
      <c r="G36" s="62"/>
      <c r="H36" s="62"/>
      <c r="I36" s="63"/>
      <c r="J36" s="62"/>
      <c r="K36" s="62"/>
      <c r="L36" s="62"/>
      <c r="M36" s="62"/>
      <c r="N36" s="63"/>
      <c r="O36" s="63"/>
      <c r="P36" s="62"/>
      <c r="Q36" s="63"/>
      <c r="R36" s="66">
        <f t="shared" si="1"/>
        <v>0</v>
      </c>
      <c r="S36" s="63"/>
      <c r="T36" s="63"/>
      <c r="U36" s="63"/>
      <c r="V36" s="63"/>
      <c r="W36" s="63"/>
      <c r="X36" s="63"/>
      <c r="Y36" s="68">
        <f t="shared" si="7"/>
        <v>0</v>
      </c>
      <c r="Z36" s="63"/>
      <c r="AA36" s="62"/>
      <c r="AB36" s="63"/>
      <c r="AC36" s="63"/>
      <c r="AD36" s="62"/>
      <c r="AE36" s="69">
        <f t="shared" si="2"/>
        <v>0</v>
      </c>
      <c r="AF36" s="62"/>
      <c r="AG36" s="62"/>
      <c r="AH36" s="62"/>
      <c r="AI36" s="70">
        <f t="shared" si="3"/>
        <v>0</v>
      </c>
      <c r="AJ36" s="63"/>
      <c r="AK36" s="63"/>
      <c r="AL36" s="63"/>
      <c r="AM36" s="63"/>
      <c r="AN36" s="71">
        <f t="shared" si="4"/>
        <v>0</v>
      </c>
      <c r="AO36" s="62"/>
      <c r="AP36" s="62"/>
      <c r="AQ36" s="62"/>
      <c r="AR36" s="62"/>
      <c r="AS36" s="62"/>
      <c r="AT36" s="62"/>
      <c r="AU36" s="78">
        <f t="shared" si="5"/>
        <v>0</v>
      </c>
      <c r="AV36" s="79">
        <f t="shared" si="8"/>
        <v>0</v>
      </c>
    </row>
    <row r="37" ht="15.75" customHeight="1">
      <c r="A37" s="153">
        <v>30.0</v>
      </c>
      <c r="B37" s="154"/>
      <c r="C37" s="154"/>
      <c r="D37" s="154"/>
      <c r="E37" s="154"/>
      <c r="F37" s="63"/>
      <c r="G37" s="62"/>
      <c r="H37" s="62"/>
      <c r="I37" s="63"/>
      <c r="J37" s="62"/>
      <c r="K37" s="62"/>
      <c r="L37" s="62"/>
      <c r="M37" s="62"/>
      <c r="N37" s="63"/>
      <c r="O37" s="63"/>
      <c r="P37" s="62"/>
      <c r="Q37" s="63"/>
      <c r="R37" s="66">
        <f t="shared" si="1"/>
        <v>0</v>
      </c>
      <c r="S37" s="63"/>
      <c r="T37" s="63"/>
      <c r="U37" s="63"/>
      <c r="V37" s="63"/>
      <c r="W37" s="63"/>
      <c r="X37" s="63"/>
      <c r="Y37" s="68">
        <f t="shared" si="7"/>
        <v>0</v>
      </c>
      <c r="Z37" s="63"/>
      <c r="AA37" s="62"/>
      <c r="AB37" s="63"/>
      <c r="AC37" s="63"/>
      <c r="AD37" s="62"/>
      <c r="AE37" s="69">
        <f t="shared" si="2"/>
        <v>0</v>
      </c>
      <c r="AF37" s="62"/>
      <c r="AG37" s="62"/>
      <c r="AH37" s="62"/>
      <c r="AI37" s="70">
        <f t="shared" si="3"/>
        <v>0</v>
      </c>
      <c r="AJ37" s="63"/>
      <c r="AK37" s="63"/>
      <c r="AL37" s="63"/>
      <c r="AM37" s="63"/>
      <c r="AN37" s="71">
        <f t="shared" si="4"/>
        <v>0</v>
      </c>
      <c r="AO37" s="62"/>
      <c r="AP37" s="62"/>
      <c r="AQ37" s="62"/>
      <c r="AR37" s="62"/>
      <c r="AS37" s="62"/>
      <c r="AT37" s="62"/>
      <c r="AU37" s="78">
        <f t="shared" si="5"/>
        <v>0</v>
      </c>
      <c r="AV37" s="79">
        <f t="shared" si="8"/>
        <v>0</v>
      </c>
    </row>
    <row r="38" ht="15.75" customHeight="1">
      <c r="A38" s="153">
        <v>31.0</v>
      </c>
      <c r="B38" s="154"/>
      <c r="C38" s="154"/>
      <c r="D38" s="154"/>
      <c r="E38" s="154"/>
      <c r="F38" s="63"/>
      <c r="G38" s="75"/>
      <c r="H38" s="75"/>
      <c r="I38" s="63"/>
      <c r="J38" s="75"/>
      <c r="K38" s="75"/>
      <c r="L38" s="75"/>
      <c r="M38" s="75"/>
      <c r="N38" s="63"/>
      <c r="O38" s="63"/>
      <c r="P38" s="75"/>
      <c r="Q38" s="63"/>
      <c r="R38" s="66">
        <f t="shared" si="1"/>
        <v>0</v>
      </c>
      <c r="S38" s="63"/>
      <c r="T38" s="63"/>
      <c r="U38" s="63"/>
      <c r="V38" s="63"/>
      <c r="W38" s="63"/>
      <c r="X38" s="63"/>
      <c r="Y38" s="68">
        <f t="shared" si="7"/>
        <v>0</v>
      </c>
      <c r="Z38" s="63"/>
      <c r="AA38" s="62"/>
      <c r="AB38" s="63"/>
      <c r="AC38" s="63"/>
      <c r="AD38" s="62"/>
      <c r="AE38" s="69">
        <f t="shared" si="2"/>
        <v>0</v>
      </c>
      <c r="AF38" s="62"/>
      <c r="AG38" s="62"/>
      <c r="AH38" s="62"/>
      <c r="AI38" s="70">
        <f t="shared" si="3"/>
        <v>0</v>
      </c>
      <c r="AJ38" s="63"/>
      <c r="AK38" s="63"/>
      <c r="AL38" s="63"/>
      <c r="AM38" s="63"/>
      <c r="AN38" s="71">
        <f t="shared" si="4"/>
        <v>0</v>
      </c>
      <c r="AO38" s="62"/>
      <c r="AP38" s="62"/>
      <c r="AQ38" s="62"/>
      <c r="AR38" s="62"/>
      <c r="AS38" s="62"/>
      <c r="AT38" s="62"/>
      <c r="AU38" s="78">
        <f t="shared" si="5"/>
        <v>0</v>
      </c>
      <c r="AV38" s="79">
        <f t="shared" si="8"/>
        <v>0</v>
      </c>
    </row>
    <row r="39" ht="15.75" customHeight="1">
      <c r="A39" s="153">
        <v>32.0</v>
      </c>
      <c r="B39" s="154"/>
      <c r="C39" s="154"/>
      <c r="D39" s="154"/>
      <c r="E39" s="154"/>
      <c r="F39" s="63"/>
      <c r="G39" s="75"/>
      <c r="H39" s="75"/>
      <c r="I39" s="63"/>
      <c r="J39" s="75"/>
      <c r="K39" s="75"/>
      <c r="L39" s="75"/>
      <c r="M39" s="75"/>
      <c r="N39" s="63"/>
      <c r="O39" s="63"/>
      <c r="P39" s="75"/>
      <c r="Q39" s="63"/>
      <c r="R39" s="66">
        <f t="shared" si="1"/>
        <v>0</v>
      </c>
      <c r="S39" s="63"/>
      <c r="T39" s="63"/>
      <c r="U39" s="63"/>
      <c r="V39" s="63"/>
      <c r="W39" s="63"/>
      <c r="X39" s="63"/>
      <c r="Y39" s="68">
        <f t="shared" si="7"/>
        <v>0</v>
      </c>
      <c r="Z39" s="63"/>
      <c r="AA39" s="63"/>
      <c r="AB39" s="63"/>
      <c r="AC39" s="63"/>
      <c r="AD39" s="63"/>
      <c r="AE39" s="69">
        <f t="shared" si="2"/>
        <v>0</v>
      </c>
      <c r="AF39" s="63"/>
      <c r="AG39" s="63"/>
      <c r="AH39" s="63"/>
      <c r="AI39" s="70">
        <f t="shared" si="3"/>
        <v>0</v>
      </c>
      <c r="AJ39" s="63"/>
      <c r="AK39" s="63"/>
      <c r="AL39" s="63"/>
      <c r="AM39" s="63"/>
      <c r="AN39" s="71">
        <f t="shared" si="4"/>
        <v>0</v>
      </c>
      <c r="AO39" s="63"/>
      <c r="AP39" s="63"/>
      <c r="AQ39" s="63"/>
      <c r="AR39" s="63"/>
      <c r="AS39" s="63"/>
      <c r="AT39" s="63"/>
      <c r="AU39" s="78">
        <f t="shared" si="5"/>
        <v>0</v>
      </c>
      <c r="AV39" s="79">
        <f t="shared" si="8"/>
        <v>0</v>
      </c>
    </row>
    <row r="40" ht="15.75" customHeight="1">
      <c r="A40" s="153">
        <v>33.0</v>
      </c>
      <c r="B40" s="154"/>
      <c r="C40" s="154"/>
      <c r="D40" s="154"/>
      <c r="E40" s="154"/>
      <c r="F40" s="63"/>
      <c r="G40" s="75"/>
      <c r="H40" s="75"/>
      <c r="I40" s="63"/>
      <c r="J40" s="75"/>
      <c r="K40" s="75"/>
      <c r="L40" s="75"/>
      <c r="M40" s="75"/>
      <c r="N40" s="63"/>
      <c r="O40" s="63"/>
      <c r="P40" s="75"/>
      <c r="Q40" s="63"/>
      <c r="R40" s="66">
        <f t="shared" si="1"/>
        <v>0</v>
      </c>
      <c r="S40" s="63"/>
      <c r="T40" s="63"/>
      <c r="U40" s="63"/>
      <c r="V40" s="63"/>
      <c r="W40" s="63"/>
      <c r="X40" s="63"/>
      <c r="Y40" s="68">
        <f t="shared" si="7"/>
        <v>0</v>
      </c>
      <c r="Z40" s="63"/>
      <c r="AA40" s="62"/>
      <c r="AB40" s="63"/>
      <c r="AC40" s="63"/>
      <c r="AD40" s="62"/>
      <c r="AE40" s="69">
        <f t="shared" si="2"/>
        <v>0</v>
      </c>
      <c r="AF40" s="62"/>
      <c r="AG40" s="62"/>
      <c r="AH40" s="62"/>
      <c r="AI40" s="70">
        <f t="shared" si="3"/>
        <v>0</v>
      </c>
      <c r="AJ40" s="63"/>
      <c r="AK40" s="63"/>
      <c r="AL40" s="63"/>
      <c r="AM40" s="63"/>
      <c r="AN40" s="71">
        <f t="shared" si="4"/>
        <v>0</v>
      </c>
      <c r="AO40" s="62"/>
      <c r="AP40" s="62"/>
      <c r="AQ40" s="62"/>
      <c r="AR40" s="62"/>
      <c r="AS40" s="62"/>
      <c r="AT40" s="62"/>
      <c r="AU40" s="78">
        <f t="shared" si="5"/>
        <v>0</v>
      </c>
      <c r="AV40" s="79">
        <f t="shared" si="8"/>
        <v>0</v>
      </c>
    </row>
    <row r="41" ht="15.75" customHeight="1">
      <c r="A41" s="153">
        <v>33.0</v>
      </c>
      <c r="B41" s="154"/>
      <c r="C41" s="75"/>
      <c r="D41" s="75"/>
      <c r="E41" s="75"/>
      <c r="F41" s="63"/>
      <c r="G41" s="75"/>
      <c r="H41" s="75"/>
      <c r="I41" s="63"/>
      <c r="J41" s="75"/>
      <c r="K41" s="75"/>
      <c r="L41" s="75"/>
      <c r="M41" s="75"/>
      <c r="N41" s="63"/>
      <c r="O41" s="63"/>
      <c r="P41" s="75"/>
      <c r="Q41" s="63"/>
      <c r="R41" s="66">
        <f t="shared" si="1"/>
        <v>0</v>
      </c>
      <c r="S41" s="63"/>
      <c r="T41" s="63"/>
      <c r="U41" s="63"/>
      <c r="V41" s="63"/>
      <c r="W41" s="63"/>
      <c r="X41" s="63"/>
      <c r="Y41" s="68">
        <f t="shared" si="7"/>
        <v>0</v>
      </c>
      <c r="Z41" s="63"/>
      <c r="AA41" s="63"/>
      <c r="AB41" s="63"/>
      <c r="AC41" s="63"/>
      <c r="AD41" s="63"/>
      <c r="AE41" s="69">
        <f t="shared" si="2"/>
        <v>0</v>
      </c>
      <c r="AF41" s="63"/>
      <c r="AG41" s="63"/>
      <c r="AH41" s="63"/>
      <c r="AI41" s="70">
        <f t="shared" si="3"/>
        <v>0</v>
      </c>
      <c r="AJ41" s="63"/>
      <c r="AK41" s="63"/>
      <c r="AL41" s="63"/>
      <c r="AM41" s="63"/>
      <c r="AN41" s="71">
        <f t="shared" si="4"/>
        <v>0</v>
      </c>
      <c r="AO41" s="63"/>
      <c r="AP41" s="63"/>
      <c r="AQ41" s="63"/>
      <c r="AR41" s="63"/>
      <c r="AS41" s="63"/>
      <c r="AT41" s="63"/>
      <c r="AU41" s="78">
        <f t="shared" si="5"/>
        <v>0</v>
      </c>
      <c r="AV41" s="79">
        <f t="shared" si="8"/>
        <v>0</v>
      </c>
    </row>
    <row r="42" ht="15.75" customHeight="1">
      <c r="A42" s="74"/>
      <c r="B42" s="75"/>
      <c r="C42" s="75"/>
      <c r="D42" s="75"/>
      <c r="E42" s="75"/>
      <c r="F42" s="63"/>
      <c r="G42" s="75"/>
      <c r="H42" s="75"/>
      <c r="I42" s="63"/>
      <c r="J42" s="75"/>
      <c r="K42" s="75"/>
      <c r="L42" s="75"/>
      <c r="M42" s="75"/>
      <c r="N42" s="63"/>
      <c r="O42" s="63"/>
      <c r="P42" s="75"/>
      <c r="Q42" s="63"/>
      <c r="R42" s="66">
        <f t="shared" si="1"/>
        <v>0</v>
      </c>
      <c r="S42" s="63"/>
      <c r="T42" s="63"/>
      <c r="U42" s="63"/>
      <c r="V42" s="63"/>
      <c r="W42" s="75"/>
      <c r="X42" s="63"/>
      <c r="Y42" s="68">
        <f t="shared" si="7"/>
        <v>0</v>
      </c>
      <c r="Z42" s="63"/>
      <c r="AA42" s="62"/>
      <c r="AB42" s="75"/>
      <c r="AC42" s="75"/>
      <c r="AD42" s="75"/>
      <c r="AE42" s="69">
        <f t="shared" si="2"/>
        <v>0</v>
      </c>
      <c r="AF42" s="75"/>
      <c r="AG42" s="63"/>
      <c r="AH42" s="63"/>
      <c r="AI42" s="70">
        <f t="shared" si="3"/>
        <v>0</v>
      </c>
      <c r="AJ42" s="75"/>
      <c r="AK42" s="75"/>
      <c r="AL42" s="63"/>
      <c r="AM42" s="63"/>
      <c r="AN42" s="71">
        <f t="shared" si="4"/>
        <v>0</v>
      </c>
      <c r="AO42" s="75"/>
      <c r="AP42" s="75"/>
      <c r="AQ42" s="63"/>
      <c r="AR42" s="75"/>
      <c r="AS42" s="75"/>
      <c r="AT42" s="75"/>
      <c r="AU42" s="78">
        <f t="shared" si="5"/>
        <v>0</v>
      </c>
      <c r="AV42" s="79">
        <f t="shared" si="8"/>
        <v>0</v>
      </c>
    </row>
    <row r="43" ht="15.75" customHeight="1">
      <c r="A43" s="74"/>
      <c r="B43" s="75"/>
      <c r="C43" s="75"/>
      <c r="D43" s="75"/>
      <c r="E43" s="75"/>
      <c r="F43" s="63"/>
      <c r="G43" s="75"/>
      <c r="H43" s="75"/>
      <c r="I43" s="63"/>
      <c r="J43" s="75"/>
      <c r="K43" s="75"/>
      <c r="L43" s="75"/>
      <c r="M43" s="75"/>
      <c r="N43" s="63"/>
      <c r="O43" s="63"/>
      <c r="P43" s="75"/>
      <c r="Q43" s="63"/>
      <c r="R43" s="66">
        <f t="shared" si="1"/>
        <v>0</v>
      </c>
      <c r="S43" s="63"/>
      <c r="T43" s="63"/>
      <c r="U43" s="63"/>
      <c r="V43" s="63"/>
      <c r="W43" s="75"/>
      <c r="X43" s="63"/>
      <c r="Y43" s="68">
        <f t="shared" si="7"/>
        <v>0</v>
      </c>
      <c r="Z43" s="63"/>
      <c r="AA43" s="75"/>
      <c r="AB43" s="63"/>
      <c r="AC43" s="75"/>
      <c r="AD43" s="75"/>
      <c r="AE43" s="69">
        <f t="shared" si="2"/>
        <v>0</v>
      </c>
      <c r="AF43" s="75"/>
      <c r="AG43" s="63"/>
      <c r="AH43" s="63"/>
      <c r="AI43" s="70">
        <f t="shared" si="3"/>
        <v>0</v>
      </c>
      <c r="AJ43" s="75"/>
      <c r="AK43" s="75"/>
      <c r="AL43" s="63"/>
      <c r="AM43" s="63"/>
      <c r="AN43" s="71">
        <f t="shared" si="4"/>
        <v>0</v>
      </c>
      <c r="AO43" s="75"/>
      <c r="AP43" s="75"/>
      <c r="AQ43" s="63"/>
      <c r="AR43" s="75"/>
      <c r="AS43" s="75"/>
      <c r="AT43" s="75"/>
      <c r="AU43" s="78">
        <f t="shared" si="5"/>
        <v>0</v>
      </c>
      <c r="AV43" s="79">
        <f t="shared" si="8"/>
        <v>0</v>
      </c>
    </row>
    <row r="44" ht="15.75" customHeight="1">
      <c r="A44" s="74"/>
      <c r="B44" s="75"/>
      <c r="C44" s="75"/>
      <c r="D44" s="75"/>
      <c r="E44" s="75"/>
      <c r="F44" s="63"/>
      <c r="G44" s="75"/>
      <c r="H44" s="75"/>
      <c r="I44" s="63"/>
      <c r="J44" s="75"/>
      <c r="K44" s="75"/>
      <c r="L44" s="75"/>
      <c r="M44" s="75"/>
      <c r="N44" s="63"/>
      <c r="O44" s="63"/>
      <c r="P44" s="75"/>
      <c r="Q44" s="63"/>
      <c r="R44" s="66">
        <f t="shared" si="1"/>
        <v>0</v>
      </c>
      <c r="S44" s="75"/>
      <c r="T44" s="63"/>
      <c r="U44" s="63"/>
      <c r="V44" s="63"/>
      <c r="W44" s="75"/>
      <c r="X44" s="63"/>
      <c r="Y44" s="68">
        <f t="shared" si="7"/>
        <v>0</v>
      </c>
      <c r="Z44" s="63"/>
      <c r="AA44" s="75"/>
      <c r="AB44" s="63"/>
      <c r="AC44" s="75"/>
      <c r="AD44" s="75"/>
      <c r="AE44" s="69">
        <f t="shared" si="2"/>
        <v>0</v>
      </c>
      <c r="AF44" s="75"/>
      <c r="AG44" s="63"/>
      <c r="AH44" s="63"/>
      <c r="AI44" s="70">
        <f t="shared" si="3"/>
        <v>0</v>
      </c>
      <c r="AJ44" s="75"/>
      <c r="AK44" s="75"/>
      <c r="AL44" s="63"/>
      <c r="AM44" s="63"/>
      <c r="AN44" s="71">
        <f t="shared" si="4"/>
        <v>0</v>
      </c>
      <c r="AO44" s="75"/>
      <c r="AP44" s="75"/>
      <c r="AQ44" s="63"/>
      <c r="AR44" s="75"/>
      <c r="AS44" s="75"/>
      <c r="AT44" s="75"/>
      <c r="AU44" s="78">
        <f t="shared" si="5"/>
        <v>0</v>
      </c>
      <c r="AV44" s="79">
        <f t="shared" si="8"/>
        <v>0</v>
      </c>
    </row>
    <row r="45" ht="15.75" customHeight="1">
      <c r="A45" s="84"/>
      <c r="B45" s="163"/>
      <c r="C45" s="163"/>
      <c r="D45" s="163"/>
      <c r="E45" s="163"/>
      <c r="F45" s="164"/>
      <c r="G45" s="163"/>
      <c r="H45" s="163"/>
      <c r="I45" s="164"/>
      <c r="J45" s="163"/>
      <c r="K45" s="163"/>
      <c r="L45" s="163"/>
      <c r="M45" s="163"/>
      <c r="N45" s="164"/>
      <c r="O45" s="164"/>
      <c r="P45" s="163"/>
      <c r="Q45" s="164"/>
      <c r="R45" s="165">
        <f t="shared" si="1"/>
        <v>0</v>
      </c>
      <c r="S45" s="75"/>
      <c r="T45" s="63"/>
      <c r="U45" s="63"/>
      <c r="V45" s="63"/>
      <c r="W45" s="75"/>
      <c r="X45" s="63"/>
      <c r="Y45" s="166">
        <f t="shared" si="7"/>
        <v>0</v>
      </c>
      <c r="Z45" s="164"/>
      <c r="AA45" s="163"/>
      <c r="AB45" s="164"/>
      <c r="AC45" s="163"/>
      <c r="AD45" s="163"/>
      <c r="AE45" s="167">
        <f t="shared" si="2"/>
        <v>0</v>
      </c>
      <c r="AF45" s="163"/>
      <c r="AG45" s="164"/>
      <c r="AH45" s="164"/>
      <c r="AI45" s="168">
        <f t="shared" si="3"/>
        <v>0</v>
      </c>
      <c r="AJ45" s="163"/>
      <c r="AK45" s="163"/>
      <c r="AL45" s="164"/>
      <c r="AM45" s="164"/>
      <c r="AN45" s="169">
        <f t="shared" si="4"/>
        <v>0</v>
      </c>
      <c r="AO45" s="163"/>
      <c r="AP45" s="163"/>
      <c r="AQ45" s="63"/>
      <c r="AR45" s="163"/>
      <c r="AS45" s="163"/>
      <c r="AT45" s="163"/>
      <c r="AU45" s="170">
        <f t="shared" si="5"/>
        <v>0</v>
      </c>
      <c r="AV45" s="171">
        <f t="shared" si="8"/>
        <v>0</v>
      </c>
    </row>
    <row r="46" ht="15.75" customHeight="1">
      <c r="AQ46" s="17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6:B7"/>
    <mergeCell ref="C6:C7"/>
    <mergeCell ref="D6:R6"/>
    <mergeCell ref="S6:U6"/>
    <mergeCell ref="V6:Y6"/>
    <mergeCell ref="Z6:AE6"/>
    <mergeCell ref="AF6:AI6"/>
    <mergeCell ref="AJ6:AN6"/>
    <mergeCell ref="AO6:AU6"/>
    <mergeCell ref="AV6:AV7"/>
    <mergeCell ref="A1:AV1"/>
    <mergeCell ref="C3:P3"/>
    <mergeCell ref="Q3:U3"/>
    <mergeCell ref="V3:AE3"/>
    <mergeCell ref="C4:P4"/>
    <mergeCell ref="A6:A7"/>
    <mergeCell ref="V4:AO4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0"/>
    <col customWidth="1" min="2" max="2" width="37.67"/>
    <col customWidth="1" min="3" max="3" width="4.11"/>
    <col customWidth="1" min="4" max="6" width="4.0"/>
    <col customWidth="1" min="7" max="8" width="4.11"/>
    <col customWidth="1" min="9" max="9" width="4.33"/>
    <col customWidth="1" min="10" max="10" width="4.0"/>
    <col customWidth="1" min="11" max="11" width="4.33"/>
    <col customWidth="1" min="12" max="12" width="4.11"/>
    <col customWidth="1" min="13" max="13" width="4.0"/>
    <col customWidth="1" min="14" max="14" width="3.78"/>
    <col customWidth="1" min="15" max="15" width="4.33"/>
    <col customWidth="1" min="16" max="16" width="4.44"/>
    <col customWidth="1" min="17" max="17" width="4.33"/>
    <col customWidth="1" min="18" max="18" width="4.44"/>
    <col customWidth="1" min="19" max="19" width="4.67"/>
    <col customWidth="1" min="20" max="22" width="4.33"/>
    <col customWidth="1" min="23" max="23" width="4.0"/>
    <col customWidth="1" min="24" max="26" width="4.33"/>
    <col customWidth="1" min="27" max="27" width="4.11"/>
    <col customWidth="1" min="28" max="29" width="4.0"/>
    <col customWidth="1" min="30" max="30" width="4.11"/>
    <col customWidth="1" min="31" max="31" width="4.33"/>
    <col customWidth="1" min="32" max="32" width="4.0"/>
    <col customWidth="1" min="33" max="33" width="4.33"/>
    <col customWidth="1" min="34" max="34" width="4.44"/>
    <col customWidth="1" min="35" max="35" width="7.0"/>
  </cols>
  <sheetData>
    <row r="1" ht="24.75" customHeight="1">
      <c r="A1" s="173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AI2" s="7"/>
    </row>
    <row r="3" ht="24.75" customHeight="1">
      <c r="A3" s="4"/>
      <c r="B3" s="9" t="s">
        <v>1</v>
      </c>
      <c r="C3" s="10" t="s">
        <v>2</v>
      </c>
      <c r="Q3" s="9" t="s">
        <v>3</v>
      </c>
      <c r="V3" s="11" t="s">
        <v>51</v>
      </c>
      <c r="AI3" s="7"/>
    </row>
    <row r="4" ht="24.0" customHeight="1">
      <c r="A4" s="12"/>
      <c r="B4" s="13" t="s">
        <v>5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7</v>
      </c>
      <c r="R4" s="13"/>
      <c r="S4" s="13"/>
      <c r="T4" s="13"/>
      <c r="U4" s="13"/>
      <c r="V4" s="174" t="s">
        <v>52</v>
      </c>
      <c r="W4" s="15"/>
      <c r="X4" s="15"/>
      <c r="Y4" s="15"/>
      <c r="Z4" s="15"/>
      <c r="AA4" s="15"/>
      <c r="AB4" s="15"/>
      <c r="AC4" s="15"/>
      <c r="AD4" s="15"/>
      <c r="AE4" s="15"/>
      <c r="AF4" s="175"/>
      <c r="AG4" s="175"/>
      <c r="AH4" s="17"/>
      <c r="AI4" s="18"/>
    </row>
    <row r="5" ht="15.75" customHeight="1">
      <c r="A5" s="19"/>
      <c r="B5" s="19"/>
      <c r="C5" s="19"/>
    </row>
    <row r="6" ht="16.5" customHeight="1">
      <c r="A6" s="176" t="s">
        <v>9</v>
      </c>
      <c r="B6" s="177" t="s">
        <v>10</v>
      </c>
      <c r="C6" s="178" t="s">
        <v>11</v>
      </c>
      <c r="D6" s="22" t="s">
        <v>12</v>
      </c>
      <c r="E6" s="23"/>
      <c r="F6" s="24"/>
      <c r="G6" s="179" t="s">
        <v>53</v>
      </c>
      <c r="H6" s="23"/>
      <c r="I6" s="23"/>
      <c r="J6" s="180" t="s">
        <v>54</v>
      </c>
      <c r="K6" s="23"/>
      <c r="L6" s="23"/>
      <c r="M6" s="29" t="s">
        <v>55</v>
      </c>
      <c r="N6" s="23"/>
      <c r="O6" s="23"/>
      <c r="P6" s="23"/>
      <c r="Q6" s="181" t="s">
        <v>15</v>
      </c>
      <c r="R6" s="23"/>
      <c r="S6" s="23"/>
      <c r="T6" s="23"/>
      <c r="U6" s="24"/>
      <c r="V6" s="182" t="s">
        <v>16</v>
      </c>
      <c r="W6" s="183"/>
      <c r="X6" s="183"/>
      <c r="Y6" s="184"/>
      <c r="Z6" s="185" t="s">
        <v>17</v>
      </c>
      <c r="AA6" s="183"/>
      <c r="AB6" s="183"/>
      <c r="AC6" s="183"/>
      <c r="AD6" s="183"/>
      <c r="AE6" s="186" t="s">
        <v>18</v>
      </c>
      <c r="AF6" s="23"/>
      <c r="AG6" s="23"/>
      <c r="AH6" s="24"/>
      <c r="AI6" s="187" t="s">
        <v>19</v>
      </c>
    </row>
    <row r="7" ht="61.5" customHeight="1">
      <c r="A7" s="188"/>
      <c r="B7" s="189"/>
      <c r="C7" s="190"/>
      <c r="D7" s="34" t="s">
        <v>56</v>
      </c>
      <c r="E7" s="35" t="s">
        <v>57</v>
      </c>
      <c r="F7" s="36" t="s">
        <v>20</v>
      </c>
      <c r="G7" s="191" t="s">
        <v>56</v>
      </c>
      <c r="H7" s="192" t="s">
        <v>57</v>
      </c>
      <c r="I7" s="193" t="s">
        <v>20</v>
      </c>
      <c r="J7" s="194" t="s">
        <v>58</v>
      </c>
      <c r="K7" s="195" t="s">
        <v>59</v>
      </c>
      <c r="L7" s="196" t="s">
        <v>20</v>
      </c>
      <c r="M7" s="50" t="s">
        <v>60</v>
      </c>
      <c r="N7" s="51" t="s">
        <v>61</v>
      </c>
      <c r="O7" s="51" t="s">
        <v>62</v>
      </c>
      <c r="P7" s="197" t="s">
        <v>20</v>
      </c>
      <c r="Q7" s="198" t="s">
        <v>27</v>
      </c>
      <c r="R7" s="199" t="s">
        <v>63</v>
      </c>
      <c r="S7" s="199" t="s">
        <v>64</v>
      </c>
      <c r="T7" s="199" t="s">
        <v>65</v>
      </c>
      <c r="U7" s="200" t="s">
        <v>20</v>
      </c>
      <c r="V7" s="201" t="s">
        <v>66</v>
      </c>
      <c r="W7" s="202" t="s">
        <v>67</v>
      </c>
      <c r="X7" s="202" t="s">
        <v>68</v>
      </c>
      <c r="Y7" s="203" t="s">
        <v>20</v>
      </c>
      <c r="Z7" s="204" t="s">
        <v>69</v>
      </c>
      <c r="AA7" s="205" t="s">
        <v>70</v>
      </c>
      <c r="AB7" s="205" t="s">
        <v>71</v>
      </c>
      <c r="AC7" s="205" t="s">
        <v>72</v>
      </c>
      <c r="AD7" s="206" t="s">
        <v>20</v>
      </c>
      <c r="AE7" s="37" t="s">
        <v>73</v>
      </c>
      <c r="AF7" s="38" t="s">
        <v>74</v>
      </c>
      <c r="AG7" s="38" t="s">
        <v>75</v>
      </c>
      <c r="AH7" s="39" t="s">
        <v>20</v>
      </c>
      <c r="AI7" s="207"/>
    </row>
    <row r="8" ht="15.75" customHeight="1">
      <c r="A8" s="59">
        <v>1.0</v>
      </c>
      <c r="B8" s="130" t="s">
        <v>76</v>
      </c>
      <c r="C8" s="208" t="s">
        <v>44</v>
      </c>
      <c r="D8" s="62">
        <v>4.0</v>
      </c>
      <c r="E8" s="62">
        <v>4.0</v>
      </c>
      <c r="F8" s="66">
        <f t="shared" ref="F8:F35" si="1">SUM(D8:E8)/2</f>
        <v>4</v>
      </c>
      <c r="G8" s="62">
        <v>5.0</v>
      </c>
      <c r="H8" s="62">
        <v>4.0</v>
      </c>
      <c r="I8" s="209">
        <f t="shared" ref="I8:I32" si="2">SUM(G8:H8)/2</f>
        <v>4.5</v>
      </c>
      <c r="J8" s="62">
        <v>4.0</v>
      </c>
      <c r="K8" s="62">
        <v>4.0</v>
      </c>
      <c r="L8" s="210">
        <f t="shared" ref="L8:L30" si="3">SUM(J8:K8)/2</f>
        <v>4</v>
      </c>
      <c r="M8" s="62">
        <v>4.0</v>
      </c>
      <c r="N8" s="62">
        <v>4.0</v>
      </c>
      <c r="O8" s="62">
        <v>4.0</v>
      </c>
      <c r="P8" s="71">
        <f t="shared" ref="P8:P26" si="4">SUM(N8:O8)/2</f>
        <v>4</v>
      </c>
      <c r="Q8" s="62">
        <v>5.0</v>
      </c>
      <c r="R8" s="62">
        <v>5.0</v>
      </c>
      <c r="S8" s="62">
        <v>5.0</v>
      </c>
      <c r="T8" s="62">
        <v>5.0</v>
      </c>
      <c r="U8" s="211">
        <f t="shared" ref="U8:U35" si="5">SUM(R8:T8)/3</f>
        <v>5</v>
      </c>
      <c r="V8" s="62">
        <v>4.0</v>
      </c>
      <c r="W8" s="62">
        <v>4.0</v>
      </c>
      <c r="X8" s="62">
        <v>4.0</v>
      </c>
      <c r="Y8" s="78">
        <f t="shared" ref="Y8:Y35" si="6">SUM(V8:X8)/3</f>
        <v>4</v>
      </c>
      <c r="Z8" s="62">
        <v>5.0</v>
      </c>
      <c r="AA8" s="62">
        <v>5.0</v>
      </c>
      <c r="AB8" s="62">
        <v>5.0</v>
      </c>
      <c r="AC8" s="62">
        <v>5.0</v>
      </c>
      <c r="AD8" s="212">
        <f t="shared" ref="AD8:AD35" si="7">SUM(Z8:AC8)/4</f>
        <v>5</v>
      </c>
      <c r="AE8" s="62">
        <v>4.0</v>
      </c>
      <c r="AF8" s="62">
        <v>4.0</v>
      </c>
      <c r="AG8" s="213">
        <v>4.0</v>
      </c>
      <c r="AH8" s="67">
        <f t="shared" ref="AH8:AH12" si="8">SUM(AE8:AG8)/3</f>
        <v>4</v>
      </c>
      <c r="AI8" s="214">
        <f t="shared" ref="AI8:AI12" si="9">SUM(AH8,AD8,Y8,U8,Q8,N8,M8,L8,K8,H8)/10</f>
        <v>4.3</v>
      </c>
    </row>
    <row r="9" ht="15.75" customHeight="1">
      <c r="A9" s="74">
        <v>2.0</v>
      </c>
      <c r="B9" s="118" t="s">
        <v>77</v>
      </c>
      <c r="C9" s="215" t="s">
        <v>44</v>
      </c>
      <c r="D9" s="62">
        <v>4.0</v>
      </c>
      <c r="E9" s="62">
        <v>4.0</v>
      </c>
      <c r="F9" s="66">
        <f t="shared" si="1"/>
        <v>4</v>
      </c>
      <c r="G9" s="62">
        <v>5.0</v>
      </c>
      <c r="H9" s="62">
        <v>4.0</v>
      </c>
      <c r="I9" s="209">
        <f t="shared" si="2"/>
        <v>4.5</v>
      </c>
      <c r="J9" s="62">
        <v>4.0</v>
      </c>
      <c r="K9" s="62">
        <v>4.0</v>
      </c>
      <c r="L9" s="210">
        <f t="shared" si="3"/>
        <v>4</v>
      </c>
      <c r="M9" s="62">
        <v>5.0</v>
      </c>
      <c r="N9" s="62">
        <v>4.0</v>
      </c>
      <c r="O9" s="62">
        <v>4.0</v>
      </c>
      <c r="P9" s="71">
        <f t="shared" si="4"/>
        <v>4</v>
      </c>
      <c r="Q9" s="62">
        <v>5.0</v>
      </c>
      <c r="R9" s="62">
        <v>4.0</v>
      </c>
      <c r="S9" s="62">
        <v>5.0</v>
      </c>
      <c r="T9" s="62">
        <v>4.0</v>
      </c>
      <c r="U9" s="211">
        <f t="shared" si="5"/>
        <v>4.333333333</v>
      </c>
      <c r="V9" s="62">
        <v>5.0</v>
      </c>
      <c r="W9" s="62">
        <v>4.0</v>
      </c>
      <c r="X9" s="62">
        <v>4.0</v>
      </c>
      <c r="Y9" s="78">
        <f t="shared" si="6"/>
        <v>4.333333333</v>
      </c>
      <c r="Z9" s="62">
        <v>5.0</v>
      </c>
      <c r="AA9" s="62">
        <v>5.0</v>
      </c>
      <c r="AB9" s="62">
        <v>5.0</v>
      </c>
      <c r="AC9" s="62">
        <v>5.0</v>
      </c>
      <c r="AD9" s="212">
        <f t="shared" si="7"/>
        <v>5</v>
      </c>
      <c r="AE9" s="62">
        <v>5.0</v>
      </c>
      <c r="AF9" s="62">
        <v>4.0</v>
      </c>
      <c r="AG9" s="213">
        <v>4.0</v>
      </c>
      <c r="AH9" s="67">
        <f t="shared" si="8"/>
        <v>4.333333333</v>
      </c>
      <c r="AI9" s="214">
        <f t="shared" si="9"/>
        <v>4.4</v>
      </c>
    </row>
    <row r="10" ht="15.75" customHeight="1">
      <c r="A10" s="74">
        <v>3.0</v>
      </c>
      <c r="B10" s="118" t="s">
        <v>78</v>
      </c>
      <c r="C10" s="215" t="s">
        <v>44</v>
      </c>
      <c r="D10" s="62"/>
      <c r="E10" s="62"/>
      <c r="F10" s="66">
        <f t="shared" si="1"/>
        <v>0</v>
      </c>
      <c r="G10" s="62"/>
      <c r="H10" s="62"/>
      <c r="I10" s="209">
        <f t="shared" si="2"/>
        <v>0</v>
      </c>
      <c r="J10" s="62"/>
      <c r="K10" s="88"/>
      <c r="L10" s="210">
        <f t="shared" si="3"/>
        <v>0</v>
      </c>
      <c r="M10" s="62"/>
      <c r="N10" s="88"/>
      <c r="O10" s="62"/>
      <c r="P10" s="71">
        <f t="shared" si="4"/>
        <v>0</v>
      </c>
      <c r="Q10" s="62"/>
      <c r="R10" s="88"/>
      <c r="S10" s="62"/>
      <c r="T10" s="88"/>
      <c r="U10" s="211">
        <f t="shared" si="5"/>
        <v>0</v>
      </c>
      <c r="V10" s="62"/>
      <c r="W10" s="88"/>
      <c r="X10" s="62"/>
      <c r="Y10" s="78">
        <f t="shared" si="6"/>
        <v>0</v>
      </c>
      <c r="Z10" s="62"/>
      <c r="AA10" s="88"/>
      <c r="AB10" s="62"/>
      <c r="AC10" s="88"/>
      <c r="AD10" s="212">
        <f t="shared" si="7"/>
        <v>0</v>
      </c>
      <c r="AE10" s="62"/>
      <c r="AF10" s="88"/>
      <c r="AG10" s="213"/>
      <c r="AH10" s="67">
        <f t="shared" si="8"/>
        <v>0</v>
      </c>
      <c r="AI10" s="214">
        <f t="shared" si="9"/>
        <v>0</v>
      </c>
    </row>
    <row r="11" ht="15.75" customHeight="1">
      <c r="A11" s="74">
        <v>4.0</v>
      </c>
      <c r="B11" s="118" t="s">
        <v>79</v>
      </c>
      <c r="C11" s="215" t="s">
        <v>44</v>
      </c>
      <c r="D11" s="62">
        <v>6.0</v>
      </c>
      <c r="E11" s="62">
        <v>6.0</v>
      </c>
      <c r="F11" s="66">
        <f t="shared" si="1"/>
        <v>6</v>
      </c>
      <c r="G11" s="62">
        <v>5.0</v>
      </c>
      <c r="H11" s="62">
        <v>5.0</v>
      </c>
      <c r="I11" s="209">
        <f t="shared" si="2"/>
        <v>5</v>
      </c>
      <c r="J11" s="62">
        <v>5.0</v>
      </c>
      <c r="K11" s="62">
        <v>5.0</v>
      </c>
      <c r="L11" s="210">
        <f t="shared" si="3"/>
        <v>5</v>
      </c>
      <c r="M11" s="62">
        <v>5.0</v>
      </c>
      <c r="N11" s="62">
        <v>4.0</v>
      </c>
      <c r="O11" s="62">
        <v>5.0</v>
      </c>
      <c r="P11" s="71">
        <f t="shared" si="4"/>
        <v>4.5</v>
      </c>
      <c r="Q11" s="62">
        <v>5.0</v>
      </c>
      <c r="R11" s="62">
        <v>4.0</v>
      </c>
      <c r="S11" s="62">
        <v>5.0</v>
      </c>
      <c r="T11" s="62">
        <v>4.0</v>
      </c>
      <c r="U11" s="211">
        <f t="shared" si="5"/>
        <v>4.333333333</v>
      </c>
      <c r="V11" s="62">
        <v>5.0</v>
      </c>
      <c r="W11" s="62">
        <v>4.0</v>
      </c>
      <c r="X11" s="62">
        <v>5.0</v>
      </c>
      <c r="Y11" s="78">
        <f t="shared" si="6"/>
        <v>4.666666667</v>
      </c>
      <c r="Z11" s="62">
        <v>5.0</v>
      </c>
      <c r="AA11" s="62">
        <v>4.0</v>
      </c>
      <c r="AB11" s="62">
        <v>5.0</v>
      </c>
      <c r="AC11" s="62">
        <v>4.0</v>
      </c>
      <c r="AD11" s="212">
        <f t="shared" si="7"/>
        <v>4.5</v>
      </c>
      <c r="AE11" s="62">
        <v>4.0</v>
      </c>
      <c r="AF11" s="62">
        <v>4.0</v>
      </c>
      <c r="AG11" s="213">
        <v>4.0</v>
      </c>
      <c r="AH11" s="67">
        <f t="shared" si="8"/>
        <v>4</v>
      </c>
      <c r="AI11" s="214">
        <f t="shared" si="9"/>
        <v>4.65</v>
      </c>
    </row>
    <row r="12" ht="15.75" customHeight="1">
      <c r="A12" s="74">
        <v>5.0</v>
      </c>
      <c r="B12" s="118" t="s">
        <v>80</v>
      </c>
      <c r="C12" s="215" t="s">
        <v>44</v>
      </c>
      <c r="D12" s="62">
        <v>5.0</v>
      </c>
      <c r="E12" s="62">
        <v>5.0</v>
      </c>
      <c r="F12" s="66">
        <f t="shared" si="1"/>
        <v>5</v>
      </c>
      <c r="G12" s="62">
        <v>5.0</v>
      </c>
      <c r="H12" s="62">
        <v>4.0</v>
      </c>
      <c r="I12" s="209">
        <f t="shared" si="2"/>
        <v>4.5</v>
      </c>
      <c r="J12" s="62">
        <v>4.0</v>
      </c>
      <c r="K12" s="62">
        <v>4.0</v>
      </c>
      <c r="L12" s="210">
        <f t="shared" si="3"/>
        <v>4</v>
      </c>
      <c r="M12" s="62">
        <v>4.0</v>
      </c>
      <c r="N12" s="62">
        <v>4.0</v>
      </c>
      <c r="O12" s="62">
        <v>5.0</v>
      </c>
      <c r="P12" s="71">
        <f t="shared" si="4"/>
        <v>4.5</v>
      </c>
      <c r="Q12" s="62">
        <v>4.0</v>
      </c>
      <c r="R12" s="62">
        <v>3.0</v>
      </c>
      <c r="S12" s="62">
        <v>4.0</v>
      </c>
      <c r="T12" s="62">
        <v>3.0</v>
      </c>
      <c r="U12" s="211">
        <f t="shared" si="5"/>
        <v>3.333333333</v>
      </c>
      <c r="V12" s="62">
        <v>4.0</v>
      </c>
      <c r="W12" s="62">
        <v>4.0</v>
      </c>
      <c r="X12" s="62">
        <v>5.0</v>
      </c>
      <c r="Y12" s="78">
        <f t="shared" si="6"/>
        <v>4.333333333</v>
      </c>
      <c r="Z12" s="62">
        <v>4.0</v>
      </c>
      <c r="AA12" s="62">
        <v>3.0</v>
      </c>
      <c r="AB12" s="62">
        <v>4.0</v>
      </c>
      <c r="AC12" s="62">
        <v>3.0</v>
      </c>
      <c r="AD12" s="212">
        <f t="shared" si="7"/>
        <v>3.5</v>
      </c>
      <c r="AE12" s="62">
        <v>4.0</v>
      </c>
      <c r="AF12" s="62">
        <v>4.0</v>
      </c>
      <c r="AG12" s="213">
        <v>4.0</v>
      </c>
      <c r="AH12" s="67">
        <f t="shared" si="8"/>
        <v>4</v>
      </c>
      <c r="AI12" s="214">
        <f t="shared" si="9"/>
        <v>3.916666667</v>
      </c>
    </row>
    <row r="13" ht="15.75" customHeight="1">
      <c r="A13" s="74">
        <v>6.0</v>
      </c>
      <c r="B13" s="118" t="s">
        <v>81</v>
      </c>
      <c r="C13" s="215" t="s">
        <v>44</v>
      </c>
      <c r="D13" s="62">
        <v>6.0</v>
      </c>
      <c r="E13" s="62">
        <v>6.0</v>
      </c>
      <c r="F13" s="66">
        <f t="shared" si="1"/>
        <v>6</v>
      </c>
      <c r="G13" s="62">
        <v>6.0</v>
      </c>
      <c r="H13" s="88">
        <v>6.0</v>
      </c>
      <c r="I13" s="209">
        <f t="shared" si="2"/>
        <v>6</v>
      </c>
      <c r="J13" s="62">
        <v>6.0</v>
      </c>
      <c r="K13" s="62">
        <v>6.0</v>
      </c>
      <c r="L13" s="210">
        <f t="shared" si="3"/>
        <v>6</v>
      </c>
      <c r="M13" s="62">
        <v>6.0</v>
      </c>
      <c r="N13" s="62">
        <v>5.0</v>
      </c>
      <c r="O13" s="62">
        <v>6.0</v>
      </c>
      <c r="P13" s="71">
        <f t="shared" si="4"/>
        <v>5.5</v>
      </c>
      <c r="Q13" s="62">
        <v>6.0</v>
      </c>
      <c r="R13" s="62">
        <v>6.0</v>
      </c>
      <c r="S13" s="62">
        <v>6.0</v>
      </c>
      <c r="T13" s="62">
        <v>6.0</v>
      </c>
      <c r="U13" s="211">
        <f t="shared" si="5"/>
        <v>6</v>
      </c>
      <c r="V13" s="62">
        <v>6.0</v>
      </c>
      <c r="W13" s="62">
        <v>6.0</v>
      </c>
      <c r="X13" s="62">
        <v>6.0</v>
      </c>
      <c r="Y13" s="78">
        <f t="shared" si="6"/>
        <v>6</v>
      </c>
      <c r="Z13" s="62">
        <v>5.0</v>
      </c>
      <c r="AA13" s="62">
        <v>5.0</v>
      </c>
      <c r="AB13" s="62">
        <v>5.0</v>
      </c>
      <c r="AC13" s="62">
        <v>5.0</v>
      </c>
      <c r="AD13" s="212">
        <f t="shared" si="7"/>
        <v>5</v>
      </c>
      <c r="AE13" s="62">
        <v>6.0</v>
      </c>
      <c r="AF13" s="62">
        <v>6.0</v>
      </c>
      <c r="AG13" s="213">
        <v>6.0</v>
      </c>
      <c r="AH13" s="67">
        <v>6.0</v>
      </c>
      <c r="AI13" s="214">
        <v>6.0</v>
      </c>
    </row>
    <row r="14" ht="15.75" customHeight="1">
      <c r="A14" s="74">
        <v>7.0</v>
      </c>
      <c r="B14" s="118" t="s">
        <v>82</v>
      </c>
      <c r="C14" s="215" t="s">
        <v>44</v>
      </c>
      <c r="D14" s="62">
        <v>5.0</v>
      </c>
      <c r="E14" s="62">
        <v>5.0</v>
      </c>
      <c r="F14" s="66">
        <f t="shared" si="1"/>
        <v>5</v>
      </c>
      <c r="G14" s="62">
        <v>5.0</v>
      </c>
      <c r="H14" s="62">
        <v>4.0</v>
      </c>
      <c r="I14" s="209">
        <f t="shared" si="2"/>
        <v>4.5</v>
      </c>
      <c r="J14" s="62">
        <v>5.0</v>
      </c>
      <c r="K14" s="62">
        <v>5.0</v>
      </c>
      <c r="L14" s="210">
        <f t="shared" si="3"/>
        <v>5</v>
      </c>
      <c r="M14" s="62">
        <v>4.0</v>
      </c>
      <c r="N14" s="62">
        <v>4.0</v>
      </c>
      <c r="O14" s="62">
        <v>5.0</v>
      </c>
      <c r="P14" s="71">
        <f t="shared" si="4"/>
        <v>4.5</v>
      </c>
      <c r="Q14" s="62">
        <v>5.0</v>
      </c>
      <c r="R14" s="62">
        <v>5.0</v>
      </c>
      <c r="S14" s="62">
        <v>5.0</v>
      </c>
      <c r="T14" s="62">
        <v>5.0</v>
      </c>
      <c r="U14" s="211">
        <f t="shared" si="5"/>
        <v>5</v>
      </c>
      <c r="V14" s="62">
        <v>6.0</v>
      </c>
      <c r="W14" s="62">
        <v>5.0</v>
      </c>
      <c r="X14" s="62">
        <v>5.0</v>
      </c>
      <c r="Y14" s="78">
        <f t="shared" si="6"/>
        <v>5.333333333</v>
      </c>
      <c r="Z14" s="62">
        <v>6.0</v>
      </c>
      <c r="AA14" s="62">
        <v>5.0</v>
      </c>
      <c r="AB14" s="62">
        <v>6.0</v>
      </c>
      <c r="AC14" s="62">
        <v>5.0</v>
      </c>
      <c r="AD14" s="212">
        <f t="shared" si="7"/>
        <v>5.5</v>
      </c>
      <c r="AE14" s="62">
        <v>6.0</v>
      </c>
      <c r="AF14" s="62">
        <v>5.0</v>
      </c>
      <c r="AG14" s="213">
        <v>4.0</v>
      </c>
      <c r="AH14" s="67">
        <f t="shared" ref="AH14:AH35" si="10">SUM(AE14:AG14)/3</f>
        <v>5</v>
      </c>
      <c r="AI14" s="214">
        <f t="shared" ref="AI14:AI16" si="11">SUM(AH14,AD14,Y14,U14,Q14,N14,M14,L14,K14,H14)/10</f>
        <v>4.783333333</v>
      </c>
    </row>
    <row r="15" ht="15.75" customHeight="1">
      <c r="A15" s="74">
        <v>8.0</v>
      </c>
      <c r="B15" s="118" t="s">
        <v>83</v>
      </c>
      <c r="C15" s="215" t="s">
        <v>45</v>
      </c>
      <c r="D15" s="62">
        <v>3.0</v>
      </c>
      <c r="E15" s="62">
        <v>3.0</v>
      </c>
      <c r="F15" s="66">
        <f t="shared" si="1"/>
        <v>3</v>
      </c>
      <c r="G15" s="62">
        <v>4.0</v>
      </c>
      <c r="H15" s="62">
        <v>3.0</v>
      </c>
      <c r="I15" s="209">
        <f t="shared" si="2"/>
        <v>3.5</v>
      </c>
      <c r="J15" s="62">
        <v>3.0</v>
      </c>
      <c r="K15" s="62">
        <v>3.0</v>
      </c>
      <c r="L15" s="210">
        <f t="shared" si="3"/>
        <v>3</v>
      </c>
      <c r="M15" s="62">
        <v>4.0</v>
      </c>
      <c r="N15" s="62">
        <v>3.0</v>
      </c>
      <c r="O15" s="62">
        <v>3.0</v>
      </c>
      <c r="P15" s="71">
        <f t="shared" si="4"/>
        <v>3</v>
      </c>
      <c r="Q15" s="62">
        <v>5.0</v>
      </c>
      <c r="R15" s="62">
        <v>4.0</v>
      </c>
      <c r="S15" s="62">
        <v>4.0</v>
      </c>
      <c r="T15" s="62">
        <v>4.0</v>
      </c>
      <c r="U15" s="211">
        <f t="shared" si="5"/>
        <v>4</v>
      </c>
      <c r="V15" s="62">
        <v>6.0</v>
      </c>
      <c r="W15" s="62">
        <v>5.0</v>
      </c>
      <c r="X15" s="62">
        <v>4.0</v>
      </c>
      <c r="Y15" s="78">
        <f t="shared" si="6"/>
        <v>5</v>
      </c>
      <c r="Z15" s="62">
        <v>6.0</v>
      </c>
      <c r="AA15" s="62">
        <v>5.0</v>
      </c>
      <c r="AB15" s="62">
        <v>6.0</v>
      </c>
      <c r="AC15" s="62">
        <v>5.0</v>
      </c>
      <c r="AD15" s="212">
        <f t="shared" si="7"/>
        <v>5.5</v>
      </c>
      <c r="AE15" s="62">
        <v>3.0</v>
      </c>
      <c r="AF15" s="62">
        <v>3.0</v>
      </c>
      <c r="AG15" s="213">
        <v>3.0</v>
      </c>
      <c r="AH15" s="67">
        <f t="shared" si="10"/>
        <v>3</v>
      </c>
      <c r="AI15" s="214">
        <f t="shared" si="11"/>
        <v>3.85</v>
      </c>
    </row>
    <row r="16" ht="15.75" customHeight="1">
      <c r="A16" s="74">
        <v>9.0</v>
      </c>
      <c r="B16" s="118" t="s">
        <v>84</v>
      </c>
      <c r="C16" s="215" t="s">
        <v>45</v>
      </c>
      <c r="D16" s="62">
        <v>5.0</v>
      </c>
      <c r="E16" s="62">
        <v>5.0</v>
      </c>
      <c r="F16" s="66">
        <f t="shared" si="1"/>
        <v>5</v>
      </c>
      <c r="G16" s="62">
        <v>5.0</v>
      </c>
      <c r="H16" s="62">
        <v>4.0</v>
      </c>
      <c r="I16" s="209">
        <f t="shared" si="2"/>
        <v>4.5</v>
      </c>
      <c r="J16" s="62">
        <v>4.0</v>
      </c>
      <c r="K16" s="62">
        <v>4.0</v>
      </c>
      <c r="L16" s="210">
        <f t="shared" si="3"/>
        <v>4</v>
      </c>
      <c r="M16" s="62">
        <v>5.0</v>
      </c>
      <c r="N16" s="62">
        <v>4.0</v>
      </c>
      <c r="O16" s="62">
        <v>5.0</v>
      </c>
      <c r="P16" s="71">
        <f t="shared" si="4"/>
        <v>4.5</v>
      </c>
      <c r="Q16" s="62">
        <v>5.0</v>
      </c>
      <c r="R16" s="62">
        <v>4.0</v>
      </c>
      <c r="S16" s="62">
        <v>5.0</v>
      </c>
      <c r="T16" s="62">
        <v>4.0</v>
      </c>
      <c r="U16" s="211">
        <f t="shared" si="5"/>
        <v>4.333333333</v>
      </c>
      <c r="V16" s="62">
        <v>5.0</v>
      </c>
      <c r="W16" s="62">
        <v>4.0</v>
      </c>
      <c r="X16" s="62">
        <v>5.0</v>
      </c>
      <c r="Y16" s="78">
        <f t="shared" si="6"/>
        <v>4.666666667</v>
      </c>
      <c r="Z16" s="62">
        <v>5.0</v>
      </c>
      <c r="AA16" s="62">
        <v>4.0</v>
      </c>
      <c r="AB16" s="62">
        <v>5.0</v>
      </c>
      <c r="AC16" s="62">
        <v>4.0</v>
      </c>
      <c r="AD16" s="212">
        <f t="shared" si="7"/>
        <v>4.5</v>
      </c>
      <c r="AE16" s="62">
        <v>5.0</v>
      </c>
      <c r="AF16" s="62">
        <v>4.0</v>
      </c>
      <c r="AG16" s="213">
        <v>4.0</v>
      </c>
      <c r="AH16" s="67">
        <f t="shared" si="10"/>
        <v>4.333333333</v>
      </c>
      <c r="AI16" s="214">
        <f t="shared" si="11"/>
        <v>4.383333333</v>
      </c>
    </row>
    <row r="17" ht="15.75" customHeight="1">
      <c r="A17" s="74">
        <v>10.0</v>
      </c>
      <c r="B17" s="118" t="s">
        <v>85</v>
      </c>
      <c r="C17" s="215" t="s">
        <v>44</v>
      </c>
      <c r="D17" s="62">
        <v>6.0</v>
      </c>
      <c r="E17" s="62">
        <v>6.0</v>
      </c>
      <c r="F17" s="66">
        <f t="shared" si="1"/>
        <v>6</v>
      </c>
      <c r="G17" s="62">
        <v>6.0</v>
      </c>
      <c r="H17" s="62">
        <v>5.0</v>
      </c>
      <c r="I17" s="209">
        <f t="shared" si="2"/>
        <v>5.5</v>
      </c>
      <c r="J17" s="62">
        <v>6.0</v>
      </c>
      <c r="K17" s="62">
        <v>6.0</v>
      </c>
      <c r="L17" s="210">
        <f t="shared" si="3"/>
        <v>6</v>
      </c>
      <c r="M17" s="62">
        <v>5.0</v>
      </c>
      <c r="N17" s="62">
        <v>4.0</v>
      </c>
      <c r="O17" s="62">
        <v>5.0</v>
      </c>
      <c r="P17" s="71">
        <f t="shared" si="4"/>
        <v>4.5</v>
      </c>
      <c r="Q17" s="62">
        <v>5.0</v>
      </c>
      <c r="R17" s="62">
        <v>5.0</v>
      </c>
      <c r="S17" s="62">
        <v>5.0</v>
      </c>
      <c r="T17" s="62">
        <v>5.0</v>
      </c>
      <c r="U17" s="211">
        <f t="shared" si="5"/>
        <v>5</v>
      </c>
      <c r="V17" s="62">
        <v>5.0</v>
      </c>
      <c r="W17" s="62">
        <v>5.0</v>
      </c>
      <c r="X17" s="62">
        <v>5.0</v>
      </c>
      <c r="Y17" s="78">
        <f t="shared" si="6"/>
        <v>5</v>
      </c>
      <c r="Z17" s="62">
        <v>6.0</v>
      </c>
      <c r="AA17" s="62">
        <v>5.0</v>
      </c>
      <c r="AB17" s="62">
        <v>6.0</v>
      </c>
      <c r="AC17" s="62">
        <v>5.0</v>
      </c>
      <c r="AD17" s="212">
        <f t="shared" si="7"/>
        <v>5.5</v>
      </c>
      <c r="AE17" s="62">
        <v>5.0</v>
      </c>
      <c r="AF17" s="62">
        <v>4.0</v>
      </c>
      <c r="AG17" s="213">
        <v>4.0</v>
      </c>
      <c r="AH17" s="67">
        <f t="shared" si="10"/>
        <v>4.333333333</v>
      </c>
      <c r="AI17" s="214">
        <v>5.0</v>
      </c>
    </row>
    <row r="18" ht="15.75" customHeight="1">
      <c r="A18" s="74">
        <v>11.0</v>
      </c>
      <c r="B18" s="118" t="s">
        <v>86</v>
      </c>
      <c r="C18" s="215" t="s">
        <v>45</v>
      </c>
      <c r="D18" s="62">
        <v>6.0</v>
      </c>
      <c r="E18" s="62">
        <v>6.0</v>
      </c>
      <c r="F18" s="66">
        <f t="shared" si="1"/>
        <v>6</v>
      </c>
      <c r="G18" s="62">
        <v>6.0</v>
      </c>
      <c r="H18" s="62">
        <v>5.0</v>
      </c>
      <c r="I18" s="209">
        <f t="shared" si="2"/>
        <v>5.5</v>
      </c>
      <c r="J18" s="62">
        <v>5.0</v>
      </c>
      <c r="K18" s="62">
        <v>5.0</v>
      </c>
      <c r="L18" s="210">
        <f t="shared" si="3"/>
        <v>5</v>
      </c>
      <c r="M18" s="62">
        <v>5.0</v>
      </c>
      <c r="N18" s="62">
        <v>4.0</v>
      </c>
      <c r="O18" s="62">
        <v>5.0</v>
      </c>
      <c r="P18" s="71">
        <f t="shared" si="4"/>
        <v>4.5</v>
      </c>
      <c r="Q18" s="62">
        <v>6.0</v>
      </c>
      <c r="R18" s="62">
        <v>4.0</v>
      </c>
      <c r="S18" s="62">
        <v>6.0</v>
      </c>
      <c r="T18" s="62">
        <v>4.0</v>
      </c>
      <c r="U18" s="211">
        <f t="shared" si="5"/>
        <v>4.666666667</v>
      </c>
      <c r="V18" s="62">
        <v>6.0</v>
      </c>
      <c r="W18" s="62">
        <v>4.0</v>
      </c>
      <c r="X18" s="62">
        <v>5.0</v>
      </c>
      <c r="Y18" s="78">
        <f t="shared" si="6"/>
        <v>5</v>
      </c>
      <c r="Z18" s="62">
        <v>6.0</v>
      </c>
      <c r="AA18" s="62">
        <v>4.0</v>
      </c>
      <c r="AB18" s="62">
        <v>6.0</v>
      </c>
      <c r="AC18" s="62">
        <v>4.0</v>
      </c>
      <c r="AD18" s="212">
        <f t="shared" si="7"/>
        <v>5</v>
      </c>
      <c r="AE18" s="62">
        <v>5.0</v>
      </c>
      <c r="AF18" s="62">
        <v>5.0</v>
      </c>
      <c r="AG18" s="213">
        <v>5.0</v>
      </c>
      <c r="AH18" s="67">
        <f t="shared" si="10"/>
        <v>5</v>
      </c>
      <c r="AI18" s="214">
        <f t="shared" ref="AI18:AI25" si="12">SUM(AH18,AD18,Y18,U18,Q18,N18,M18,L18,K18,H18)/10</f>
        <v>4.966666667</v>
      </c>
    </row>
    <row r="19" ht="15.75" customHeight="1">
      <c r="A19" s="74">
        <v>12.0</v>
      </c>
      <c r="B19" s="118" t="s">
        <v>87</v>
      </c>
      <c r="C19" s="215" t="s">
        <v>45</v>
      </c>
      <c r="D19" s="62">
        <v>4.0</v>
      </c>
      <c r="E19" s="62">
        <v>4.0</v>
      </c>
      <c r="F19" s="66">
        <f t="shared" si="1"/>
        <v>4</v>
      </c>
      <c r="G19" s="62">
        <v>5.0</v>
      </c>
      <c r="H19" s="62">
        <v>4.0</v>
      </c>
      <c r="I19" s="209">
        <f t="shared" si="2"/>
        <v>4.5</v>
      </c>
      <c r="J19" s="62">
        <v>4.0</v>
      </c>
      <c r="K19" s="62">
        <v>4.0</v>
      </c>
      <c r="L19" s="210">
        <f t="shared" si="3"/>
        <v>4</v>
      </c>
      <c r="M19" s="62">
        <v>4.0</v>
      </c>
      <c r="N19" s="62">
        <v>4.0</v>
      </c>
      <c r="O19" s="62">
        <v>4.0</v>
      </c>
      <c r="P19" s="71">
        <f t="shared" si="4"/>
        <v>4</v>
      </c>
      <c r="Q19" s="62">
        <v>4.0</v>
      </c>
      <c r="R19" s="62">
        <v>4.0</v>
      </c>
      <c r="S19" s="62">
        <v>4.0</v>
      </c>
      <c r="T19" s="62">
        <v>4.0</v>
      </c>
      <c r="U19" s="211">
        <f t="shared" si="5"/>
        <v>4</v>
      </c>
      <c r="V19" s="62">
        <v>4.0</v>
      </c>
      <c r="W19" s="62">
        <v>4.0</v>
      </c>
      <c r="X19" s="62">
        <v>4.0</v>
      </c>
      <c r="Y19" s="78">
        <f t="shared" si="6"/>
        <v>4</v>
      </c>
      <c r="Z19" s="62">
        <v>6.0</v>
      </c>
      <c r="AA19" s="62">
        <v>4.0</v>
      </c>
      <c r="AB19" s="62">
        <v>5.0</v>
      </c>
      <c r="AC19" s="62">
        <v>4.0</v>
      </c>
      <c r="AD19" s="212">
        <f t="shared" si="7"/>
        <v>4.75</v>
      </c>
      <c r="AE19" s="62">
        <v>4.0</v>
      </c>
      <c r="AF19" s="62">
        <v>3.0</v>
      </c>
      <c r="AG19" s="213">
        <v>3.0</v>
      </c>
      <c r="AH19" s="67">
        <f t="shared" si="10"/>
        <v>3.333333333</v>
      </c>
      <c r="AI19" s="214">
        <f t="shared" si="12"/>
        <v>4.008333333</v>
      </c>
    </row>
    <row r="20" ht="15.75" customHeight="1">
      <c r="A20" s="74">
        <v>13.0</v>
      </c>
      <c r="B20" s="118" t="s">
        <v>88</v>
      </c>
      <c r="C20" s="215" t="s">
        <v>44</v>
      </c>
      <c r="D20" s="62">
        <v>6.0</v>
      </c>
      <c r="E20" s="62">
        <v>6.0</v>
      </c>
      <c r="F20" s="66">
        <f t="shared" si="1"/>
        <v>6</v>
      </c>
      <c r="G20" s="62">
        <v>6.0</v>
      </c>
      <c r="H20" s="62">
        <v>6.0</v>
      </c>
      <c r="I20" s="209">
        <f t="shared" si="2"/>
        <v>6</v>
      </c>
      <c r="J20" s="62">
        <v>6.0</v>
      </c>
      <c r="K20" s="62">
        <v>6.0</v>
      </c>
      <c r="L20" s="210">
        <f t="shared" si="3"/>
        <v>6</v>
      </c>
      <c r="M20" s="62">
        <v>5.0</v>
      </c>
      <c r="N20" s="62">
        <v>5.0</v>
      </c>
      <c r="O20" s="62">
        <v>6.0</v>
      </c>
      <c r="P20" s="71">
        <f t="shared" si="4"/>
        <v>5.5</v>
      </c>
      <c r="Q20" s="62">
        <v>6.0</v>
      </c>
      <c r="R20" s="62">
        <v>6.0</v>
      </c>
      <c r="S20" s="62">
        <v>6.0</v>
      </c>
      <c r="T20" s="62">
        <v>6.0</v>
      </c>
      <c r="U20" s="211">
        <f t="shared" si="5"/>
        <v>6</v>
      </c>
      <c r="V20" s="62">
        <v>5.0</v>
      </c>
      <c r="W20" s="62">
        <v>5.0</v>
      </c>
      <c r="X20" s="62">
        <v>6.0</v>
      </c>
      <c r="Y20" s="78">
        <f t="shared" si="6"/>
        <v>5.333333333</v>
      </c>
      <c r="Z20" s="62">
        <v>6.0</v>
      </c>
      <c r="AA20" s="62">
        <v>6.0</v>
      </c>
      <c r="AB20" s="62">
        <v>6.0</v>
      </c>
      <c r="AC20" s="62">
        <v>6.0</v>
      </c>
      <c r="AD20" s="212">
        <f t="shared" si="7"/>
        <v>6</v>
      </c>
      <c r="AE20" s="62">
        <v>6.0</v>
      </c>
      <c r="AF20" s="62">
        <v>6.0</v>
      </c>
      <c r="AG20" s="213">
        <v>6.0</v>
      </c>
      <c r="AH20" s="67">
        <f t="shared" si="10"/>
        <v>6</v>
      </c>
      <c r="AI20" s="214">
        <f t="shared" si="12"/>
        <v>5.733333333</v>
      </c>
    </row>
    <row r="21" ht="15.75" customHeight="1">
      <c r="A21" s="74">
        <v>14.0</v>
      </c>
      <c r="B21" s="118" t="s">
        <v>89</v>
      </c>
      <c r="C21" s="215" t="s">
        <v>44</v>
      </c>
      <c r="D21" s="62">
        <v>6.0</v>
      </c>
      <c r="E21" s="62">
        <v>6.0</v>
      </c>
      <c r="F21" s="66">
        <f t="shared" si="1"/>
        <v>6</v>
      </c>
      <c r="G21" s="62">
        <v>6.0</v>
      </c>
      <c r="H21" s="62">
        <v>4.0</v>
      </c>
      <c r="I21" s="209">
        <f t="shared" si="2"/>
        <v>5</v>
      </c>
      <c r="J21" s="62">
        <v>5.0</v>
      </c>
      <c r="K21" s="62">
        <v>5.0</v>
      </c>
      <c r="L21" s="210">
        <f t="shared" si="3"/>
        <v>5</v>
      </c>
      <c r="M21" s="62">
        <v>4.0</v>
      </c>
      <c r="N21" s="62">
        <v>4.0</v>
      </c>
      <c r="O21" s="62">
        <v>5.0</v>
      </c>
      <c r="P21" s="71">
        <f t="shared" si="4"/>
        <v>4.5</v>
      </c>
      <c r="Q21" s="62">
        <v>5.0</v>
      </c>
      <c r="R21" s="62">
        <v>5.0</v>
      </c>
      <c r="S21" s="62">
        <v>5.0</v>
      </c>
      <c r="T21" s="62">
        <v>5.0</v>
      </c>
      <c r="U21" s="211">
        <f t="shared" si="5"/>
        <v>5</v>
      </c>
      <c r="V21" s="62">
        <v>4.0</v>
      </c>
      <c r="W21" s="62">
        <v>4.0</v>
      </c>
      <c r="X21" s="62">
        <v>5.0</v>
      </c>
      <c r="Y21" s="78">
        <f t="shared" si="6"/>
        <v>4.333333333</v>
      </c>
      <c r="Z21" s="62">
        <v>4.0</v>
      </c>
      <c r="AA21" s="62">
        <v>3.0</v>
      </c>
      <c r="AB21" s="62">
        <v>4.0</v>
      </c>
      <c r="AC21" s="62">
        <v>3.0</v>
      </c>
      <c r="AD21" s="212">
        <f t="shared" si="7"/>
        <v>3.5</v>
      </c>
      <c r="AE21" s="62">
        <v>4.0</v>
      </c>
      <c r="AF21" s="62">
        <v>4.0</v>
      </c>
      <c r="AG21" s="213">
        <v>4.0</v>
      </c>
      <c r="AH21" s="67">
        <f t="shared" si="10"/>
        <v>4</v>
      </c>
      <c r="AI21" s="214">
        <f t="shared" si="12"/>
        <v>4.383333333</v>
      </c>
    </row>
    <row r="22" ht="15.75" customHeight="1">
      <c r="A22" s="74">
        <v>15.0</v>
      </c>
      <c r="B22" s="118" t="s">
        <v>90</v>
      </c>
      <c r="C22" s="215" t="s">
        <v>44</v>
      </c>
      <c r="D22" s="62">
        <v>6.0</v>
      </c>
      <c r="E22" s="62">
        <v>6.0</v>
      </c>
      <c r="F22" s="66">
        <f t="shared" si="1"/>
        <v>6</v>
      </c>
      <c r="G22" s="62">
        <v>6.0</v>
      </c>
      <c r="H22" s="62">
        <v>4.0</v>
      </c>
      <c r="I22" s="209">
        <f t="shared" si="2"/>
        <v>5</v>
      </c>
      <c r="J22" s="62">
        <v>5.0</v>
      </c>
      <c r="K22" s="62">
        <v>5.0</v>
      </c>
      <c r="L22" s="210">
        <f t="shared" si="3"/>
        <v>5</v>
      </c>
      <c r="M22" s="62">
        <v>5.0</v>
      </c>
      <c r="N22" s="62">
        <v>4.0</v>
      </c>
      <c r="O22" s="62">
        <v>5.0</v>
      </c>
      <c r="P22" s="71">
        <f t="shared" si="4"/>
        <v>4.5</v>
      </c>
      <c r="Q22" s="62">
        <v>6.0</v>
      </c>
      <c r="R22" s="62">
        <v>5.0</v>
      </c>
      <c r="S22" s="62">
        <v>6.0</v>
      </c>
      <c r="T22" s="62">
        <v>5.0</v>
      </c>
      <c r="U22" s="211">
        <f t="shared" si="5"/>
        <v>5.333333333</v>
      </c>
      <c r="V22" s="62">
        <v>5.0</v>
      </c>
      <c r="W22" s="62">
        <v>5.0</v>
      </c>
      <c r="X22" s="62">
        <v>5.0</v>
      </c>
      <c r="Y22" s="78">
        <f t="shared" si="6"/>
        <v>5</v>
      </c>
      <c r="Z22" s="62">
        <v>6.0</v>
      </c>
      <c r="AA22" s="62">
        <v>5.0</v>
      </c>
      <c r="AB22" s="62">
        <v>6.0</v>
      </c>
      <c r="AC22" s="62">
        <v>5.0</v>
      </c>
      <c r="AD22" s="212">
        <f t="shared" si="7"/>
        <v>5.5</v>
      </c>
      <c r="AE22" s="62">
        <v>5.0</v>
      </c>
      <c r="AF22" s="62">
        <v>4.0</v>
      </c>
      <c r="AG22" s="213">
        <v>4.0</v>
      </c>
      <c r="AH22" s="67">
        <f t="shared" si="10"/>
        <v>4.333333333</v>
      </c>
      <c r="AI22" s="214">
        <f t="shared" si="12"/>
        <v>4.916666667</v>
      </c>
    </row>
    <row r="23" ht="15.75" customHeight="1">
      <c r="A23" s="74">
        <v>16.0</v>
      </c>
      <c r="B23" s="118" t="s">
        <v>91</v>
      </c>
      <c r="C23" s="215" t="s">
        <v>44</v>
      </c>
      <c r="D23" s="62">
        <v>5.0</v>
      </c>
      <c r="E23" s="62">
        <v>5.0</v>
      </c>
      <c r="F23" s="66">
        <f t="shared" si="1"/>
        <v>5</v>
      </c>
      <c r="G23" s="62">
        <v>5.0</v>
      </c>
      <c r="H23" s="62">
        <v>4.0</v>
      </c>
      <c r="I23" s="209">
        <f t="shared" si="2"/>
        <v>4.5</v>
      </c>
      <c r="J23" s="62">
        <v>4.0</v>
      </c>
      <c r="K23" s="62">
        <v>4.0</v>
      </c>
      <c r="L23" s="210">
        <f t="shared" si="3"/>
        <v>4</v>
      </c>
      <c r="M23" s="62">
        <v>4.0</v>
      </c>
      <c r="N23" s="62">
        <v>4.0</v>
      </c>
      <c r="O23" s="62">
        <v>4.0</v>
      </c>
      <c r="P23" s="71">
        <f t="shared" si="4"/>
        <v>4</v>
      </c>
      <c r="Q23" s="62">
        <v>5.0</v>
      </c>
      <c r="R23" s="62">
        <v>4.0</v>
      </c>
      <c r="S23" s="62">
        <v>5.0</v>
      </c>
      <c r="T23" s="62">
        <v>4.0</v>
      </c>
      <c r="U23" s="211">
        <f t="shared" si="5"/>
        <v>4.333333333</v>
      </c>
      <c r="V23" s="62">
        <v>5.0</v>
      </c>
      <c r="W23" s="62">
        <v>4.0</v>
      </c>
      <c r="X23" s="62">
        <v>4.0</v>
      </c>
      <c r="Y23" s="78">
        <f t="shared" si="6"/>
        <v>4.333333333</v>
      </c>
      <c r="Z23" s="62">
        <v>5.0</v>
      </c>
      <c r="AA23" s="62">
        <v>4.0</v>
      </c>
      <c r="AB23" s="62">
        <v>5.0</v>
      </c>
      <c r="AC23" s="62">
        <v>4.0</v>
      </c>
      <c r="AD23" s="212">
        <f t="shared" si="7"/>
        <v>4.5</v>
      </c>
      <c r="AE23" s="62">
        <v>4.0</v>
      </c>
      <c r="AF23" s="62">
        <v>4.0</v>
      </c>
      <c r="AG23" s="213">
        <v>3.0</v>
      </c>
      <c r="AH23" s="67">
        <f t="shared" si="10"/>
        <v>3.666666667</v>
      </c>
      <c r="AI23" s="214">
        <f t="shared" si="12"/>
        <v>4.183333333</v>
      </c>
    </row>
    <row r="24" ht="15.75" customHeight="1">
      <c r="A24" s="74">
        <v>17.0</v>
      </c>
      <c r="B24" s="118" t="s">
        <v>92</v>
      </c>
      <c r="C24" s="215" t="s">
        <v>44</v>
      </c>
      <c r="D24" s="62">
        <v>4.0</v>
      </c>
      <c r="E24" s="62">
        <v>4.0</v>
      </c>
      <c r="F24" s="66">
        <f t="shared" si="1"/>
        <v>4</v>
      </c>
      <c r="G24" s="62">
        <v>4.0</v>
      </c>
      <c r="H24" s="62">
        <v>3.0</v>
      </c>
      <c r="I24" s="209">
        <f t="shared" si="2"/>
        <v>3.5</v>
      </c>
      <c r="J24" s="62">
        <v>3.0</v>
      </c>
      <c r="K24" s="62">
        <v>3.0</v>
      </c>
      <c r="L24" s="210">
        <f t="shared" si="3"/>
        <v>3</v>
      </c>
      <c r="M24" s="62">
        <v>4.0</v>
      </c>
      <c r="N24" s="62">
        <v>4.0</v>
      </c>
      <c r="O24" s="62">
        <v>4.0</v>
      </c>
      <c r="P24" s="71">
        <f t="shared" si="4"/>
        <v>4</v>
      </c>
      <c r="Q24" s="62">
        <v>5.0</v>
      </c>
      <c r="R24" s="62">
        <v>4.0</v>
      </c>
      <c r="S24" s="62">
        <v>4.0</v>
      </c>
      <c r="T24" s="62">
        <v>4.0</v>
      </c>
      <c r="U24" s="211">
        <f t="shared" si="5"/>
        <v>4</v>
      </c>
      <c r="V24" s="62">
        <v>4.0</v>
      </c>
      <c r="W24" s="62">
        <v>4.0</v>
      </c>
      <c r="X24" s="62">
        <v>4.0</v>
      </c>
      <c r="Y24" s="78">
        <f t="shared" si="6"/>
        <v>4</v>
      </c>
      <c r="Z24" s="62">
        <v>5.0</v>
      </c>
      <c r="AA24" s="62">
        <v>5.0</v>
      </c>
      <c r="AB24" s="62">
        <v>5.0</v>
      </c>
      <c r="AC24" s="62">
        <v>5.0</v>
      </c>
      <c r="AD24" s="212">
        <f t="shared" si="7"/>
        <v>5</v>
      </c>
      <c r="AE24" s="62">
        <v>3.0</v>
      </c>
      <c r="AF24" s="62">
        <v>3.0</v>
      </c>
      <c r="AG24" s="213">
        <v>3.0</v>
      </c>
      <c r="AH24" s="67">
        <f t="shared" si="10"/>
        <v>3</v>
      </c>
      <c r="AI24" s="214">
        <f t="shared" si="12"/>
        <v>3.8</v>
      </c>
    </row>
    <row r="25" ht="15.75" customHeight="1">
      <c r="A25" s="74">
        <v>18.0</v>
      </c>
      <c r="B25" s="118" t="s">
        <v>93</v>
      </c>
      <c r="C25" s="215" t="s">
        <v>44</v>
      </c>
      <c r="D25" s="62">
        <v>6.0</v>
      </c>
      <c r="E25" s="62">
        <v>6.0</v>
      </c>
      <c r="F25" s="66">
        <f t="shared" si="1"/>
        <v>6</v>
      </c>
      <c r="G25" s="62">
        <v>6.0</v>
      </c>
      <c r="H25" s="62">
        <v>5.0</v>
      </c>
      <c r="I25" s="209">
        <f t="shared" si="2"/>
        <v>5.5</v>
      </c>
      <c r="J25" s="62">
        <v>5.0</v>
      </c>
      <c r="K25" s="62">
        <v>5.0</v>
      </c>
      <c r="L25" s="210">
        <f t="shared" si="3"/>
        <v>5</v>
      </c>
      <c r="M25" s="62">
        <v>5.0</v>
      </c>
      <c r="N25" s="62">
        <v>4.0</v>
      </c>
      <c r="O25" s="62">
        <v>5.0</v>
      </c>
      <c r="P25" s="71">
        <f t="shared" si="4"/>
        <v>4.5</v>
      </c>
      <c r="Q25" s="62">
        <v>5.0</v>
      </c>
      <c r="R25" s="62">
        <v>5.0</v>
      </c>
      <c r="S25" s="62">
        <v>5.0</v>
      </c>
      <c r="T25" s="62">
        <v>5.0</v>
      </c>
      <c r="U25" s="211">
        <f t="shared" si="5"/>
        <v>5</v>
      </c>
      <c r="V25" s="62">
        <v>5.0</v>
      </c>
      <c r="W25" s="62">
        <v>5.0</v>
      </c>
      <c r="X25" s="62">
        <v>5.0</v>
      </c>
      <c r="Y25" s="78">
        <f t="shared" si="6"/>
        <v>5</v>
      </c>
      <c r="Z25" s="62">
        <v>5.0</v>
      </c>
      <c r="AA25" s="62">
        <v>3.0</v>
      </c>
      <c r="AB25" s="62">
        <v>5.0</v>
      </c>
      <c r="AC25" s="62">
        <v>3.0</v>
      </c>
      <c r="AD25" s="212">
        <f t="shared" si="7"/>
        <v>4</v>
      </c>
      <c r="AE25" s="62">
        <v>5.0</v>
      </c>
      <c r="AF25" s="62">
        <v>5.0</v>
      </c>
      <c r="AG25" s="213">
        <v>4.0</v>
      </c>
      <c r="AH25" s="67">
        <f t="shared" si="10"/>
        <v>4.666666667</v>
      </c>
      <c r="AI25" s="214">
        <f t="shared" si="12"/>
        <v>4.766666667</v>
      </c>
    </row>
    <row r="26" ht="15.75" customHeight="1">
      <c r="A26" s="74">
        <v>19.0</v>
      </c>
      <c r="B26" s="118" t="s">
        <v>94</v>
      </c>
      <c r="C26" s="215" t="s">
        <v>44</v>
      </c>
      <c r="D26" s="62">
        <v>5.0</v>
      </c>
      <c r="E26" s="62">
        <v>5.0</v>
      </c>
      <c r="F26" s="66">
        <f t="shared" si="1"/>
        <v>5</v>
      </c>
      <c r="G26" s="62">
        <v>5.0</v>
      </c>
      <c r="H26" s="62">
        <v>4.0</v>
      </c>
      <c r="I26" s="209">
        <f t="shared" si="2"/>
        <v>4.5</v>
      </c>
      <c r="J26" s="62">
        <v>5.0</v>
      </c>
      <c r="K26" s="62">
        <v>5.0</v>
      </c>
      <c r="L26" s="210">
        <f t="shared" si="3"/>
        <v>5</v>
      </c>
      <c r="M26" s="62">
        <v>4.0</v>
      </c>
      <c r="N26" s="62">
        <v>4.0</v>
      </c>
      <c r="O26" s="62">
        <v>4.0</v>
      </c>
      <c r="P26" s="71">
        <f t="shared" si="4"/>
        <v>4</v>
      </c>
      <c r="Q26" s="62">
        <v>5.0</v>
      </c>
      <c r="R26" s="62">
        <v>5.0</v>
      </c>
      <c r="S26" s="62">
        <v>4.0</v>
      </c>
      <c r="T26" s="62">
        <v>4.0</v>
      </c>
      <c r="U26" s="211">
        <f t="shared" si="5"/>
        <v>4.333333333</v>
      </c>
      <c r="V26" s="62">
        <v>4.0</v>
      </c>
      <c r="W26" s="62">
        <v>5.0</v>
      </c>
      <c r="X26" s="62">
        <v>5.0</v>
      </c>
      <c r="Y26" s="78">
        <f t="shared" si="6"/>
        <v>4.666666667</v>
      </c>
      <c r="Z26" s="62">
        <v>5.0</v>
      </c>
      <c r="AA26" s="62">
        <v>5.0</v>
      </c>
      <c r="AB26" s="62">
        <v>5.0</v>
      </c>
      <c r="AC26" s="62">
        <v>5.0</v>
      </c>
      <c r="AD26" s="212">
        <f t="shared" si="7"/>
        <v>5</v>
      </c>
      <c r="AE26" s="62">
        <v>4.0</v>
      </c>
      <c r="AF26" s="62">
        <v>3.0</v>
      </c>
      <c r="AG26" s="213">
        <v>3.0</v>
      </c>
      <c r="AH26" s="67">
        <f t="shared" si="10"/>
        <v>3.333333333</v>
      </c>
      <c r="AI26" s="214">
        <v>4.0</v>
      </c>
    </row>
    <row r="27" ht="15.75" customHeight="1">
      <c r="A27" s="74">
        <v>20.0</v>
      </c>
      <c r="B27" s="118" t="s">
        <v>95</v>
      </c>
      <c r="C27" s="215" t="s">
        <v>45</v>
      </c>
      <c r="D27" s="62">
        <v>6.0</v>
      </c>
      <c r="E27" s="62">
        <v>6.0</v>
      </c>
      <c r="F27" s="66">
        <f t="shared" si="1"/>
        <v>6</v>
      </c>
      <c r="G27" s="62">
        <v>6.0</v>
      </c>
      <c r="H27" s="62">
        <v>5.0</v>
      </c>
      <c r="I27" s="209">
        <f t="shared" si="2"/>
        <v>5.5</v>
      </c>
      <c r="J27" s="62">
        <v>6.0</v>
      </c>
      <c r="K27" s="62">
        <v>6.0</v>
      </c>
      <c r="L27" s="210">
        <f t="shared" si="3"/>
        <v>6</v>
      </c>
      <c r="M27" s="62">
        <v>4.0</v>
      </c>
      <c r="N27" s="62">
        <v>4.0</v>
      </c>
      <c r="O27" s="62">
        <v>5.0</v>
      </c>
      <c r="P27" s="71">
        <v>4.0</v>
      </c>
      <c r="Q27" s="62">
        <v>5.0</v>
      </c>
      <c r="R27" s="62">
        <v>5.0</v>
      </c>
      <c r="S27" s="62">
        <v>5.0</v>
      </c>
      <c r="T27" s="62">
        <v>5.0</v>
      </c>
      <c r="U27" s="211">
        <f t="shared" si="5"/>
        <v>5</v>
      </c>
      <c r="V27" s="62">
        <v>4.0</v>
      </c>
      <c r="W27" s="62">
        <v>4.0</v>
      </c>
      <c r="X27" s="62">
        <v>5.0</v>
      </c>
      <c r="Y27" s="78">
        <f t="shared" si="6"/>
        <v>4.333333333</v>
      </c>
      <c r="Z27" s="62">
        <v>6.0</v>
      </c>
      <c r="AA27" s="62">
        <v>5.0</v>
      </c>
      <c r="AB27" s="62">
        <v>6.0</v>
      </c>
      <c r="AC27" s="62">
        <v>5.0</v>
      </c>
      <c r="AD27" s="212">
        <f t="shared" si="7"/>
        <v>5.5</v>
      </c>
      <c r="AE27" s="62">
        <v>5.0</v>
      </c>
      <c r="AF27" s="62">
        <v>4.0</v>
      </c>
      <c r="AG27" s="213">
        <v>4.0</v>
      </c>
      <c r="AH27" s="67">
        <f t="shared" si="10"/>
        <v>4.333333333</v>
      </c>
      <c r="AI27" s="214">
        <f>SUM(AH27,AD27,Y27,U27,Q27,N27,M26,L27,K27,H27)/10</f>
        <v>4.916666667</v>
      </c>
    </row>
    <row r="28" ht="15.75" customHeight="1">
      <c r="A28" s="74">
        <v>21.0</v>
      </c>
      <c r="B28" s="118" t="s">
        <v>96</v>
      </c>
      <c r="C28" s="215" t="s">
        <v>45</v>
      </c>
      <c r="D28" s="62">
        <v>5.0</v>
      </c>
      <c r="E28" s="62">
        <v>4.0</v>
      </c>
      <c r="F28" s="66">
        <f t="shared" si="1"/>
        <v>4.5</v>
      </c>
      <c r="G28" s="62">
        <v>5.0</v>
      </c>
      <c r="H28" s="62">
        <v>3.0</v>
      </c>
      <c r="I28" s="209">
        <f t="shared" si="2"/>
        <v>4</v>
      </c>
      <c r="J28" s="62">
        <v>4.0</v>
      </c>
      <c r="K28" s="62">
        <v>4.0</v>
      </c>
      <c r="L28" s="210">
        <f t="shared" si="3"/>
        <v>4</v>
      </c>
      <c r="M28" s="62">
        <v>4.0</v>
      </c>
      <c r="N28" s="62">
        <v>4.0</v>
      </c>
      <c r="O28" s="62">
        <v>4.0</v>
      </c>
      <c r="P28" s="71">
        <f t="shared" ref="P28:P33" si="13">SUM(N28:O28)/2</f>
        <v>4</v>
      </c>
      <c r="Q28" s="62">
        <v>5.0</v>
      </c>
      <c r="R28" s="62">
        <v>4.0</v>
      </c>
      <c r="S28" s="62">
        <v>5.0</v>
      </c>
      <c r="T28" s="62">
        <v>4.0</v>
      </c>
      <c r="U28" s="211">
        <f t="shared" si="5"/>
        <v>4.333333333</v>
      </c>
      <c r="V28" s="62">
        <v>4.0</v>
      </c>
      <c r="W28" s="62">
        <v>4.0</v>
      </c>
      <c r="X28" s="62">
        <v>4.0</v>
      </c>
      <c r="Y28" s="78">
        <f t="shared" si="6"/>
        <v>4</v>
      </c>
      <c r="Z28" s="62">
        <v>5.0</v>
      </c>
      <c r="AA28" s="62">
        <v>4.0</v>
      </c>
      <c r="AB28" s="62">
        <v>5.0</v>
      </c>
      <c r="AC28" s="62">
        <v>4.0</v>
      </c>
      <c r="AD28" s="212">
        <f t="shared" si="7"/>
        <v>4.5</v>
      </c>
      <c r="AE28" s="62">
        <v>4.0</v>
      </c>
      <c r="AF28" s="62">
        <v>3.0</v>
      </c>
      <c r="AG28" s="213">
        <v>3.0</v>
      </c>
      <c r="AH28" s="67">
        <f t="shared" si="10"/>
        <v>3.333333333</v>
      </c>
      <c r="AI28" s="214">
        <f t="shared" ref="AI28:AI30" si="14">SUM(AH28,AD28,Y28,U28,Q28,N28,M28,L28,K28,H28)/10</f>
        <v>4.016666667</v>
      </c>
    </row>
    <row r="29" ht="15.75" customHeight="1">
      <c r="A29" s="74">
        <v>22.0</v>
      </c>
      <c r="B29" s="118" t="s">
        <v>97</v>
      </c>
      <c r="C29" s="215" t="s">
        <v>45</v>
      </c>
      <c r="D29" s="62">
        <v>6.0</v>
      </c>
      <c r="E29" s="62">
        <v>6.0</v>
      </c>
      <c r="F29" s="66">
        <f t="shared" si="1"/>
        <v>6</v>
      </c>
      <c r="G29" s="62">
        <v>6.0</v>
      </c>
      <c r="H29" s="62">
        <v>6.0</v>
      </c>
      <c r="I29" s="209">
        <f t="shared" si="2"/>
        <v>6</v>
      </c>
      <c r="J29" s="62">
        <v>6.0</v>
      </c>
      <c r="K29" s="62">
        <v>6.0</v>
      </c>
      <c r="L29" s="210">
        <f t="shared" si="3"/>
        <v>6</v>
      </c>
      <c r="M29" s="62">
        <v>5.0</v>
      </c>
      <c r="N29" s="62">
        <v>5.0</v>
      </c>
      <c r="O29" s="62">
        <v>6.0</v>
      </c>
      <c r="P29" s="71">
        <f t="shared" si="13"/>
        <v>5.5</v>
      </c>
      <c r="Q29" s="62">
        <v>5.0</v>
      </c>
      <c r="R29" s="62">
        <v>4.0</v>
      </c>
      <c r="S29" s="62">
        <v>5.0</v>
      </c>
      <c r="T29" s="62">
        <v>4.0</v>
      </c>
      <c r="U29" s="211">
        <f t="shared" si="5"/>
        <v>4.333333333</v>
      </c>
      <c r="V29" s="62">
        <v>5.0</v>
      </c>
      <c r="W29" s="62">
        <v>4.0</v>
      </c>
      <c r="X29" s="62">
        <v>6.0</v>
      </c>
      <c r="Y29" s="78">
        <f t="shared" si="6"/>
        <v>5</v>
      </c>
      <c r="Z29" s="62">
        <v>5.0</v>
      </c>
      <c r="AA29" s="62">
        <v>4.0</v>
      </c>
      <c r="AB29" s="62">
        <v>5.0</v>
      </c>
      <c r="AC29" s="62">
        <v>4.0</v>
      </c>
      <c r="AD29" s="212">
        <f t="shared" si="7"/>
        <v>4.5</v>
      </c>
      <c r="AE29" s="62">
        <v>6.0</v>
      </c>
      <c r="AF29" s="62">
        <v>6.0</v>
      </c>
      <c r="AG29" s="213">
        <v>6.0</v>
      </c>
      <c r="AH29" s="67">
        <f t="shared" si="10"/>
        <v>6</v>
      </c>
      <c r="AI29" s="214">
        <f t="shared" si="14"/>
        <v>5.283333333</v>
      </c>
    </row>
    <row r="30" ht="15.75" customHeight="1">
      <c r="A30" s="74">
        <v>23.0</v>
      </c>
      <c r="B30" s="118" t="s">
        <v>98</v>
      </c>
      <c r="C30" s="215" t="s">
        <v>45</v>
      </c>
      <c r="D30" s="62">
        <v>6.0</v>
      </c>
      <c r="E30" s="62">
        <v>6.0</v>
      </c>
      <c r="F30" s="66">
        <f t="shared" si="1"/>
        <v>6</v>
      </c>
      <c r="G30" s="62">
        <v>6.0</v>
      </c>
      <c r="H30" s="62">
        <v>6.0</v>
      </c>
      <c r="I30" s="209">
        <f t="shared" si="2"/>
        <v>6</v>
      </c>
      <c r="J30" s="62">
        <v>6.0</v>
      </c>
      <c r="K30" s="62">
        <v>4.0</v>
      </c>
      <c r="L30" s="210">
        <f t="shared" si="3"/>
        <v>5</v>
      </c>
      <c r="M30" s="62">
        <v>5.0</v>
      </c>
      <c r="N30" s="62">
        <v>5.0</v>
      </c>
      <c r="O30" s="62">
        <v>5.0</v>
      </c>
      <c r="P30" s="71">
        <f t="shared" si="13"/>
        <v>5</v>
      </c>
      <c r="Q30" s="62">
        <v>6.0</v>
      </c>
      <c r="R30" s="62">
        <v>6.0</v>
      </c>
      <c r="S30" s="62">
        <v>6.0</v>
      </c>
      <c r="T30" s="62">
        <v>6.0</v>
      </c>
      <c r="U30" s="211">
        <f t="shared" si="5"/>
        <v>6</v>
      </c>
      <c r="V30" s="62">
        <v>5.0</v>
      </c>
      <c r="W30" s="62">
        <v>4.0</v>
      </c>
      <c r="X30" s="62">
        <v>5.0</v>
      </c>
      <c r="Y30" s="78">
        <f t="shared" si="6"/>
        <v>4.666666667</v>
      </c>
      <c r="Z30" s="62">
        <v>6.0</v>
      </c>
      <c r="AA30" s="62">
        <v>4.0</v>
      </c>
      <c r="AB30" s="62">
        <v>6.0</v>
      </c>
      <c r="AC30" s="62">
        <v>4.0</v>
      </c>
      <c r="AD30" s="212">
        <f t="shared" si="7"/>
        <v>5</v>
      </c>
      <c r="AE30" s="62">
        <v>6.0</v>
      </c>
      <c r="AF30" s="62">
        <v>5.0</v>
      </c>
      <c r="AG30" s="213">
        <v>5.0</v>
      </c>
      <c r="AH30" s="67">
        <f t="shared" si="10"/>
        <v>5.333333333</v>
      </c>
      <c r="AI30" s="214">
        <f t="shared" si="14"/>
        <v>5.2</v>
      </c>
    </row>
    <row r="31" ht="15.75" customHeight="1">
      <c r="A31" s="74">
        <v>24.0</v>
      </c>
      <c r="B31" s="118" t="s">
        <v>99</v>
      </c>
      <c r="C31" s="215" t="s">
        <v>45</v>
      </c>
      <c r="D31" s="62">
        <v>5.0</v>
      </c>
      <c r="E31" s="62">
        <v>5.0</v>
      </c>
      <c r="F31" s="66">
        <f t="shared" si="1"/>
        <v>5</v>
      </c>
      <c r="G31" s="62">
        <v>5.0</v>
      </c>
      <c r="H31" s="62">
        <v>4.0</v>
      </c>
      <c r="I31" s="209">
        <f t="shared" si="2"/>
        <v>4.5</v>
      </c>
      <c r="J31" s="62">
        <v>4.0</v>
      </c>
      <c r="K31" s="62">
        <v>4.0</v>
      </c>
      <c r="L31" s="210">
        <v>4.0</v>
      </c>
      <c r="M31" s="62">
        <v>4.0</v>
      </c>
      <c r="N31" s="62">
        <v>4.0</v>
      </c>
      <c r="O31" s="62">
        <v>4.0</v>
      </c>
      <c r="P31" s="71">
        <f t="shared" si="13"/>
        <v>4</v>
      </c>
      <c r="Q31" s="62">
        <v>4.0</v>
      </c>
      <c r="R31" s="62">
        <v>4.0</v>
      </c>
      <c r="S31" s="62">
        <v>4.0</v>
      </c>
      <c r="T31" s="62">
        <v>4.0</v>
      </c>
      <c r="U31" s="211">
        <f t="shared" si="5"/>
        <v>4</v>
      </c>
      <c r="V31" s="62">
        <v>4.0</v>
      </c>
      <c r="W31" s="62">
        <v>4.0</v>
      </c>
      <c r="X31" s="62">
        <v>4.0</v>
      </c>
      <c r="Y31" s="78">
        <f t="shared" si="6"/>
        <v>4</v>
      </c>
      <c r="Z31" s="62">
        <v>4.0</v>
      </c>
      <c r="AA31" s="62">
        <v>4.0</v>
      </c>
      <c r="AB31" s="62">
        <v>4.0</v>
      </c>
      <c r="AC31" s="62">
        <v>4.0</v>
      </c>
      <c r="AD31" s="212">
        <f t="shared" si="7"/>
        <v>4</v>
      </c>
      <c r="AE31" s="62">
        <v>4.0</v>
      </c>
      <c r="AF31" s="62">
        <v>4.0</v>
      </c>
      <c r="AG31" s="213">
        <v>3.0</v>
      </c>
      <c r="AH31" s="67">
        <f t="shared" si="10"/>
        <v>3.666666667</v>
      </c>
      <c r="AI31" s="214">
        <v>0.0</v>
      </c>
    </row>
    <row r="32" ht="15.75" customHeight="1">
      <c r="A32" s="74">
        <v>25.0</v>
      </c>
      <c r="B32" s="118" t="s">
        <v>100</v>
      </c>
      <c r="C32" s="215" t="s">
        <v>45</v>
      </c>
      <c r="D32" s="62">
        <v>4.0</v>
      </c>
      <c r="E32" s="62">
        <v>4.0</v>
      </c>
      <c r="F32" s="66">
        <f t="shared" si="1"/>
        <v>4</v>
      </c>
      <c r="G32" s="62">
        <v>5.0</v>
      </c>
      <c r="H32" s="62">
        <v>4.0</v>
      </c>
      <c r="I32" s="209">
        <f t="shared" si="2"/>
        <v>4.5</v>
      </c>
      <c r="J32" s="62">
        <v>4.0</v>
      </c>
      <c r="K32" s="62">
        <v>4.0</v>
      </c>
      <c r="L32" s="210">
        <f>SUM(J32:K32)/2</f>
        <v>4</v>
      </c>
      <c r="M32" s="62">
        <v>4.0</v>
      </c>
      <c r="N32" s="62">
        <v>4.0</v>
      </c>
      <c r="O32" s="62">
        <v>4.0</v>
      </c>
      <c r="P32" s="71">
        <f t="shared" si="13"/>
        <v>4</v>
      </c>
      <c r="Q32" s="62">
        <v>4.0</v>
      </c>
      <c r="R32" s="62">
        <v>4.0</v>
      </c>
      <c r="S32" s="62">
        <v>4.0</v>
      </c>
      <c r="T32" s="62">
        <v>4.0</v>
      </c>
      <c r="U32" s="211">
        <f t="shared" si="5"/>
        <v>4</v>
      </c>
      <c r="V32" s="62">
        <v>4.0</v>
      </c>
      <c r="W32" s="62">
        <v>4.0</v>
      </c>
      <c r="X32" s="62">
        <v>4.0</v>
      </c>
      <c r="Y32" s="78">
        <f t="shared" si="6"/>
        <v>4</v>
      </c>
      <c r="Z32" s="62">
        <v>4.0</v>
      </c>
      <c r="AA32" s="62">
        <v>4.0</v>
      </c>
      <c r="AB32" s="62">
        <v>4.0</v>
      </c>
      <c r="AC32" s="62">
        <v>4.0</v>
      </c>
      <c r="AD32" s="212">
        <f t="shared" si="7"/>
        <v>4</v>
      </c>
      <c r="AE32" s="62">
        <v>4.0</v>
      </c>
      <c r="AF32" s="62">
        <v>4.0</v>
      </c>
      <c r="AG32" s="213">
        <v>4.0</v>
      </c>
      <c r="AH32" s="67">
        <f t="shared" si="10"/>
        <v>4</v>
      </c>
      <c r="AI32" s="214">
        <f t="shared" ref="AI32:AI35" si="15">SUM(AH32,AD32,Y32,U32,Q32,N32,M32,L32,K32,H32)/10</f>
        <v>4</v>
      </c>
    </row>
    <row r="33" ht="15.75" customHeight="1">
      <c r="A33" s="74">
        <v>26.0</v>
      </c>
      <c r="B33" s="118" t="s">
        <v>101</v>
      </c>
      <c r="C33" s="215" t="s">
        <v>44</v>
      </c>
      <c r="D33" s="62">
        <v>6.0</v>
      </c>
      <c r="E33" s="62">
        <v>6.0</v>
      </c>
      <c r="F33" s="66">
        <f t="shared" si="1"/>
        <v>6</v>
      </c>
      <c r="G33" s="62">
        <v>6.0</v>
      </c>
      <c r="H33" s="62">
        <v>4.0</v>
      </c>
      <c r="I33" s="209">
        <v>5.0</v>
      </c>
      <c r="J33" s="63">
        <v>5.0</v>
      </c>
      <c r="K33" s="63">
        <v>5.0</v>
      </c>
      <c r="L33" s="210">
        <v>5.0</v>
      </c>
      <c r="M33" s="62">
        <v>5.0</v>
      </c>
      <c r="N33" s="62">
        <v>4.0</v>
      </c>
      <c r="O33" s="62">
        <v>5.0</v>
      </c>
      <c r="P33" s="71">
        <f t="shared" si="13"/>
        <v>4.5</v>
      </c>
      <c r="Q33" s="62">
        <v>5.0</v>
      </c>
      <c r="R33" s="62">
        <v>5.0</v>
      </c>
      <c r="S33" s="62">
        <v>5.0</v>
      </c>
      <c r="T33" s="62">
        <v>5.0</v>
      </c>
      <c r="U33" s="211">
        <f t="shared" si="5"/>
        <v>5</v>
      </c>
      <c r="V33" s="62">
        <v>4.0</v>
      </c>
      <c r="W33" s="62">
        <v>4.0</v>
      </c>
      <c r="X33" s="62">
        <v>4.0</v>
      </c>
      <c r="Y33" s="78">
        <f t="shared" si="6"/>
        <v>4</v>
      </c>
      <c r="Z33" s="62">
        <v>5.0</v>
      </c>
      <c r="AA33" s="62">
        <v>5.0</v>
      </c>
      <c r="AB33" s="62">
        <v>5.0</v>
      </c>
      <c r="AC33" s="62">
        <v>5.0</v>
      </c>
      <c r="AD33" s="212">
        <f t="shared" si="7"/>
        <v>5</v>
      </c>
      <c r="AE33" s="213">
        <v>5.0</v>
      </c>
      <c r="AF33" s="213">
        <v>4.0</v>
      </c>
      <c r="AG33" s="213">
        <v>4.0</v>
      </c>
      <c r="AH33" s="67">
        <f t="shared" si="10"/>
        <v>4.333333333</v>
      </c>
      <c r="AI33" s="214">
        <f t="shared" si="15"/>
        <v>4.633333333</v>
      </c>
    </row>
    <row r="34" ht="15.75" customHeight="1">
      <c r="A34" s="74">
        <v>27.0</v>
      </c>
      <c r="B34" s="118" t="s">
        <v>102</v>
      </c>
      <c r="C34" s="215" t="s">
        <v>45</v>
      </c>
      <c r="D34" s="62">
        <v>4.0</v>
      </c>
      <c r="E34" s="62">
        <v>4.0</v>
      </c>
      <c r="F34" s="66">
        <f t="shared" si="1"/>
        <v>4</v>
      </c>
      <c r="G34" s="62">
        <v>4.0</v>
      </c>
      <c r="H34" s="62">
        <v>4.0</v>
      </c>
      <c r="I34" s="209">
        <f t="shared" ref="I34:I35" si="16">SUM(G34:H34)/2</f>
        <v>4</v>
      </c>
      <c r="J34" s="63">
        <v>4.0</v>
      </c>
      <c r="K34" s="63">
        <v>4.0</v>
      </c>
      <c r="L34" s="210">
        <f t="shared" ref="L34:L35" si="17">SUM(J34:K34)/2</f>
        <v>4</v>
      </c>
      <c r="M34" s="62">
        <v>4.0</v>
      </c>
      <c r="N34" s="62">
        <v>4.0</v>
      </c>
      <c r="O34" s="62">
        <v>4.0</v>
      </c>
      <c r="P34" s="71">
        <v>4.0</v>
      </c>
      <c r="Q34" s="62">
        <v>4.0</v>
      </c>
      <c r="R34" s="62">
        <v>4.0</v>
      </c>
      <c r="S34" s="62">
        <v>4.0</v>
      </c>
      <c r="T34" s="62">
        <v>4.0</v>
      </c>
      <c r="U34" s="211">
        <f t="shared" si="5"/>
        <v>4</v>
      </c>
      <c r="V34" s="62">
        <v>4.0</v>
      </c>
      <c r="W34" s="62">
        <v>4.0</v>
      </c>
      <c r="X34" s="62">
        <v>4.0</v>
      </c>
      <c r="Y34" s="78">
        <f t="shared" si="6"/>
        <v>4</v>
      </c>
      <c r="Z34" s="62">
        <v>4.0</v>
      </c>
      <c r="AA34" s="62">
        <v>4.0</v>
      </c>
      <c r="AB34" s="62">
        <v>4.0</v>
      </c>
      <c r="AC34" s="62">
        <v>4.0</v>
      </c>
      <c r="AD34" s="212">
        <f t="shared" si="7"/>
        <v>4</v>
      </c>
      <c r="AE34" s="213">
        <v>4.0</v>
      </c>
      <c r="AF34" s="213">
        <v>3.0</v>
      </c>
      <c r="AG34" s="213">
        <v>3.0</v>
      </c>
      <c r="AH34" s="67">
        <f t="shared" si="10"/>
        <v>3.333333333</v>
      </c>
      <c r="AI34" s="214">
        <f t="shared" si="15"/>
        <v>3.933333333</v>
      </c>
    </row>
    <row r="35" ht="15.75" customHeight="1">
      <c r="A35" s="74">
        <v>28.0</v>
      </c>
      <c r="B35" s="118" t="s">
        <v>103</v>
      </c>
      <c r="C35" s="215" t="s">
        <v>45</v>
      </c>
      <c r="D35" s="62">
        <v>5.0</v>
      </c>
      <c r="E35" s="62">
        <v>4.0</v>
      </c>
      <c r="F35" s="66">
        <f t="shared" si="1"/>
        <v>4.5</v>
      </c>
      <c r="G35" s="62">
        <v>4.0</v>
      </c>
      <c r="H35" s="62">
        <v>4.0</v>
      </c>
      <c r="I35" s="209">
        <f t="shared" si="16"/>
        <v>4</v>
      </c>
      <c r="J35" s="63">
        <v>4.0</v>
      </c>
      <c r="K35" s="63">
        <v>4.0</v>
      </c>
      <c r="L35" s="210">
        <f t="shared" si="17"/>
        <v>4</v>
      </c>
      <c r="M35" s="62">
        <v>4.0</v>
      </c>
      <c r="N35" s="62">
        <v>4.0</v>
      </c>
      <c r="O35" s="62">
        <v>4.0</v>
      </c>
      <c r="P35" s="71">
        <f>SUM(N35:O35)/2</f>
        <v>4</v>
      </c>
      <c r="Q35" s="62">
        <v>4.0</v>
      </c>
      <c r="R35" s="62">
        <v>4.0</v>
      </c>
      <c r="S35" s="62">
        <v>4.0</v>
      </c>
      <c r="T35" s="62">
        <v>4.0</v>
      </c>
      <c r="U35" s="211">
        <f t="shared" si="5"/>
        <v>4</v>
      </c>
      <c r="V35" s="62">
        <v>3.0</v>
      </c>
      <c r="W35" s="62">
        <v>3.0</v>
      </c>
      <c r="X35" s="62">
        <v>4.0</v>
      </c>
      <c r="Y35" s="78">
        <f t="shared" si="6"/>
        <v>3.333333333</v>
      </c>
      <c r="Z35" s="62">
        <v>4.0</v>
      </c>
      <c r="AA35" s="62">
        <v>4.0</v>
      </c>
      <c r="AB35" s="62">
        <v>4.0</v>
      </c>
      <c r="AC35" s="62">
        <v>4.0</v>
      </c>
      <c r="AD35" s="212">
        <f t="shared" si="7"/>
        <v>4</v>
      </c>
      <c r="AE35" s="213">
        <v>4.0</v>
      </c>
      <c r="AF35" s="213">
        <v>3.0</v>
      </c>
      <c r="AG35" s="213">
        <v>3.0</v>
      </c>
      <c r="AH35" s="67">
        <f t="shared" si="10"/>
        <v>3.333333333</v>
      </c>
      <c r="AI35" s="214">
        <f t="shared" si="15"/>
        <v>3.866666667</v>
      </c>
    </row>
    <row r="36" ht="15.75" customHeight="1">
      <c r="A36" s="74">
        <v>29.0</v>
      </c>
      <c r="B36" s="118"/>
      <c r="C36" s="215"/>
      <c r="D36" s="62"/>
      <c r="E36" s="62"/>
      <c r="F36" s="66"/>
      <c r="G36" s="62"/>
      <c r="H36" s="62"/>
      <c r="I36" s="209"/>
      <c r="J36" s="63"/>
      <c r="K36" s="63"/>
      <c r="L36" s="210"/>
      <c r="M36" s="62"/>
      <c r="N36" s="62"/>
      <c r="O36" s="62"/>
      <c r="P36" s="71"/>
      <c r="Q36" s="62"/>
      <c r="R36" s="62"/>
      <c r="S36" s="62"/>
      <c r="T36" s="62"/>
      <c r="U36" s="211"/>
      <c r="V36" s="62"/>
      <c r="W36" s="62"/>
      <c r="X36" s="62"/>
      <c r="Y36" s="78"/>
      <c r="Z36" s="62"/>
      <c r="AA36" s="62"/>
      <c r="AB36" s="62"/>
      <c r="AC36" s="62"/>
      <c r="AD36" s="212"/>
      <c r="AE36" s="213"/>
      <c r="AF36" s="213"/>
      <c r="AG36" s="213"/>
      <c r="AH36" s="67"/>
      <c r="AI36" s="214"/>
    </row>
    <row r="37" ht="15.75" customHeight="1">
      <c r="A37" s="74">
        <v>30.0</v>
      </c>
      <c r="B37" s="118"/>
      <c r="C37" s="215"/>
      <c r="D37" s="62"/>
      <c r="E37" s="62"/>
      <c r="F37" s="66"/>
      <c r="G37" s="62"/>
      <c r="H37" s="62"/>
      <c r="I37" s="209"/>
      <c r="J37" s="63"/>
      <c r="K37" s="63"/>
      <c r="L37" s="210"/>
      <c r="M37" s="62"/>
      <c r="N37" s="62"/>
      <c r="O37" s="62"/>
      <c r="P37" s="71"/>
      <c r="Q37" s="62"/>
      <c r="R37" s="62"/>
      <c r="S37" s="62"/>
      <c r="T37" s="62"/>
      <c r="U37" s="211"/>
      <c r="V37" s="62"/>
      <c r="W37" s="62"/>
      <c r="X37" s="62"/>
      <c r="Y37" s="78"/>
      <c r="Z37" s="62"/>
      <c r="AA37" s="62"/>
      <c r="AB37" s="62"/>
      <c r="AC37" s="62"/>
      <c r="AD37" s="212"/>
      <c r="AE37" s="213"/>
      <c r="AF37" s="213"/>
      <c r="AG37" s="213"/>
      <c r="AH37" s="67"/>
      <c r="AI37" s="214"/>
    </row>
    <row r="38" ht="15.75" customHeight="1">
      <c r="A38" s="74">
        <v>31.0</v>
      </c>
      <c r="B38" s="118"/>
      <c r="C38" s="215"/>
      <c r="D38" s="62"/>
      <c r="E38" s="62"/>
      <c r="F38" s="66"/>
      <c r="G38" s="62"/>
      <c r="H38" s="62"/>
      <c r="I38" s="209"/>
      <c r="J38" s="63"/>
      <c r="K38" s="63"/>
      <c r="L38" s="210"/>
      <c r="M38" s="62"/>
      <c r="N38" s="62"/>
      <c r="O38" s="62"/>
      <c r="P38" s="71"/>
      <c r="Q38" s="62"/>
      <c r="R38" s="62"/>
      <c r="S38" s="62"/>
      <c r="T38" s="62"/>
      <c r="U38" s="211"/>
      <c r="V38" s="62"/>
      <c r="W38" s="62"/>
      <c r="X38" s="62"/>
      <c r="Y38" s="78"/>
      <c r="Z38" s="62"/>
      <c r="AA38" s="62"/>
      <c r="AB38" s="62"/>
      <c r="AC38" s="62"/>
      <c r="AD38" s="212"/>
      <c r="AE38" s="213"/>
      <c r="AF38" s="213"/>
      <c r="AG38" s="213"/>
      <c r="AH38" s="67"/>
      <c r="AI38" s="214"/>
    </row>
    <row r="39" ht="15.75" customHeight="1">
      <c r="A39" s="74">
        <v>32.0</v>
      </c>
      <c r="B39" s="118"/>
      <c r="C39" s="215"/>
      <c r="D39" s="62"/>
      <c r="E39" s="62"/>
      <c r="F39" s="66"/>
      <c r="G39" s="62"/>
      <c r="H39" s="62"/>
      <c r="I39" s="209"/>
      <c r="J39" s="63"/>
      <c r="K39" s="63"/>
      <c r="L39" s="210"/>
      <c r="M39" s="62"/>
      <c r="N39" s="62"/>
      <c r="O39" s="62"/>
      <c r="P39" s="71"/>
      <c r="Q39" s="62"/>
      <c r="R39" s="62"/>
      <c r="S39" s="62"/>
      <c r="T39" s="62"/>
      <c r="U39" s="211"/>
      <c r="V39" s="62"/>
      <c r="W39" s="62"/>
      <c r="X39" s="62"/>
      <c r="Y39" s="78"/>
      <c r="Z39" s="62"/>
      <c r="AA39" s="62"/>
      <c r="AB39" s="62"/>
      <c r="AC39" s="62"/>
      <c r="AD39" s="212"/>
      <c r="AE39" s="213"/>
      <c r="AF39" s="213"/>
      <c r="AG39" s="213"/>
      <c r="AH39" s="67"/>
      <c r="AI39" s="214"/>
    </row>
    <row r="40" ht="15.75" customHeight="1">
      <c r="A40" s="74">
        <v>33.0</v>
      </c>
      <c r="B40" s="118"/>
      <c r="C40" s="215"/>
      <c r="D40" s="62"/>
      <c r="E40" s="62"/>
      <c r="F40" s="66"/>
      <c r="G40" s="62"/>
      <c r="H40" s="62"/>
      <c r="I40" s="209"/>
      <c r="J40" s="63"/>
      <c r="K40" s="63"/>
      <c r="L40" s="210"/>
      <c r="M40" s="62"/>
      <c r="N40" s="62"/>
      <c r="O40" s="62"/>
      <c r="P40" s="71"/>
      <c r="Q40" s="62"/>
      <c r="R40" s="62"/>
      <c r="S40" s="62"/>
      <c r="T40" s="62"/>
      <c r="U40" s="211"/>
      <c r="V40" s="62"/>
      <c r="W40" s="62"/>
      <c r="X40" s="62"/>
      <c r="Y40" s="78"/>
      <c r="Z40" s="62"/>
      <c r="AA40" s="62"/>
      <c r="AB40" s="62"/>
      <c r="AC40" s="62"/>
      <c r="AD40" s="212"/>
      <c r="AE40" s="213"/>
      <c r="AF40" s="213"/>
      <c r="AG40" s="213"/>
      <c r="AH40" s="67"/>
      <c r="AI40" s="214"/>
    </row>
    <row r="41" ht="15.75" customHeight="1">
      <c r="A41" s="74">
        <v>34.0</v>
      </c>
      <c r="B41" s="118"/>
      <c r="C41" s="215"/>
      <c r="D41" s="62"/>
      <c r="E41" s="62"/>
      <c r="F41" s="66"/>
      <c r="G41" s="62"/>
      <c r="H41" s="62"/>
      <c r="I41" s="209"/>
      <c r="J41" s="63"/>
      <c r="K41" s="63"/>
      <c r="L41" s="210"/>
      <c r="M41" s="62"/>
      <c r="N41" s="62"/>
      <c r="O41" s="62"/>
      <c r="P41" s="71"/>
      <c r="Q41" s="62"/>
      <c r="R41" s="62"/>
      <c r="S41" s="62"/>
      <c r="T41" s="62"/>
      <c r="U41" s="211"/>
      <c r="V41" s="62"/>
      <c r="W41" s="62"/>
      <c r="X41" s="62"/>
      <c r="Y41" s="78"/>
      <c r="Z41" s="62"/>
      <c r="AA41" s="62"/>
      <c r="AB41" s="62"/>
      <c r="AC41" s="62"/>
      <c r="AD41" s="212"/>
      <c r="AE41" s="213"/>
      <c r="AF41" s="213"/>
      <c r="AG41" s="213"/>
      <c r="AH41" s="67"/>
      <c r="AI41" s="214"/>
    </row>
    <row r="42" ht="15.75" customHeight="1">
      <c r="A42" s="74">
        <v>35.0</v>
      </c>
      <c r="B42" s="118"/>
      <c r="C42" s="215"/>
      <c r="D42" s="62"/>
      <c r="E42" s="62"/>
      <c r="F42" s="66"/>
      <c r="G42" s="62"/>
      <c r="H42" s="62"/>
      <c r="I42" s="209"/>
      <c r="J42" s="63"/>
      <c r="K42" s="63"/>
      <c r="L42" s="210"/>
      <c r="M42" s="62"/>
      <c r="N42" s="62"/>
      <c r="O42" s="62"/>
      <c r="P42" s="71"/>
      <c r="Q42" s="62"/>
      <c r="R42" s="62"/>
      <c r="S42" s="62"/>
      <c r="T42" s="62"/>
      <c r="U42" s="211"/>
      <c r="V42" s="62"/>
      <c r="W42" s="62"/>
      <c r="X42" s="62"/>
      <c r="Y42" s="78"/>
      <c r="Z42" s="62"/>
      <c r="AA42" s="62"/>
      <c r="AB42" s="62"/>
      <c r="AC42" s="62"/>
      <c r="AD42" s="212"/>
      <c r="AE42" s="213"/>
      <c r="AF42" s="213"/>
      <c r="AG42" s="213"/>
      <c r="AH42" s="67"/>
      <c r="AI42" s="214"/>
    </row>
    <row r="43" ht="15.75" customHeight="1">
      <c r="A43" s="74">
        <v>36.0</v>
      </c>
      <c r="B43" s="118"/>
      <c r="C43" s="215"/>
      <c r="D43" s="62"/>
      <c r="E43" s="62"/>
      <c r="F43" s="66"/>
      <c r="G43" s="62"/>
      <c r="H43" s="62"/>
      <c r="I43" s="209"/>
      <c r="J43" s="63"/>
      <c r="K43" s="63"/>
      <c r="L43" s="210"/>
      <c r="M43" s="62"/>
      <c r="N43" s="62"/>
      <c r="O43" s="62"/>
      <c r="P43" s="71"/>
      <c r="Q43" s="62"/>
      <c r="R43" s="62"/>
      <c r="S43" s="62"/>
      <c r="T43" s="62"/>
      <c r="U43" s="211"/>
      <c r="V43" s="62"/>
      <c r="W43" s="62"/>
      <c r="X43" s="62"/>
      <c r="Y43" s="78"/>
      <c r="Z43" s="62"/>
      <c r="AA43" s="62"/>
      <c r="AB43" s="62"/>
      <c r="AC43" s="62"/>
      <c r="AD43" s="212"/>
      <c r="AE43" s="213"/>
      <c r="AF43" s="213"/>
      <c r="AG43" s="213"/>
      <c r="AH43" s="67"/>
      <c r="AI43" s="214"/>
    </row>
    <row r="44" ht="15.75" customHeight="1">
      <c r="A44" s="132">
        <v>37.0</v>
      </c>
      <c r="B44" s="118"/>
      <c r="C44" s="216"/>
      <c r="D44" s="62"/>
      <c r="E44" s="62"/>
      <c r="F44" s="66"/>
      <c r="G44" s="62"/>
      <c r="H44" s="62"/>
      <c r="I44" s="209"/>
      <c r="J44" s="63"/>
      <c r="K44" s="63"/>
      <c r="L44" s="210"/>
      <c r="M44" s="62"/>
      <c r="N44" s="62"/>
      <c r="O44" s="62"/>
      <c r="P44" s="71"/>
      <c r="Q44" s="62"/>
      <c r="R44" s="62"/>
      <c r="S44" s="62"/>
      <c r="T44" s="62"/>
      <c r="U44" s="211"/>
      <c r="V44" s="62"/>
      <c r="W44" s="62"/>
      <c r="X44" s="62"/>
      <c r="Y44" s="78"/>
      <c r="Z44" s="62"/>
      <c r="AA44" s="62"/>
      <c r="AB44" s="62"/>
      <c r="AC44" s="62"/>
      <c r="AD44" s="212"/>
      <c r="AE44" s="213"/>
      <c r="AF44" s="213"/>
      <c r="AG44" s="213"/>
      <c r="AH44" s="67"/>
      <c r="AI44" s="214"/>
    </row>
    <row r="45" ht="15.75" customHeight="1">
      <c r="A45" s="74">
        <v>38.0</v>
      </c>
      <c r="B45" s="130"/>
      <c r="C45" s="215"/>
      <c r="D45" s="62"/>
      <c r="E45" s="62"/>
      <c r="F45" s="66"/>
      <c r="G45" s="62"/>
      <c r="H45" s="62"/>
      <c r="I45" s="209"/>
      <c r="J45" s="63"/>
      <c r="K45" s="63"/>
      <c r="L45" s="210"/>
      <c r="M45" s="62"/>
      <c r="N45" s="62"/>
      <c r="O45" s="62"/>
      <c r="P45" s="71"/>
      <c r="Q45" s="62"/>
      <c r="R45" s="62"/>
      <c r="S45" s="62"/>
      <c r="T45" s="62"/>
      <c r="U45" s="211"/>
      <c r="V45" s="62"/>
      <c r="W45" s="62"/>
      <c r="X45" s="62"/>
      <c r="Y45" s="78"/>
      <c r="Z45" s="62"/>
      <c r="AA45" s="62"/>
      <c r="AB45" s="62"/>
      <c r="AC45" s="62"/>
      <c r="AD45" s="212"/>
      <c r="AE45" s="213"/>
      <c r="AF45" s="213"/>
      <c r="AG45" s="213"/>
      <c r="AH45" s="67"/>
      <c r="AI45" s="214"/>
    </row>
    <row r="46" ht="15.75" customHeight="1">
      <c r="A46" s="74">
        <v>39.0</v>
      </c>
      <c r="B46" s="130"/>
      <c r="C46" s="215"/>
      <c r="D46" s="62"/>
      <c r="E46" s="62"/>
      <c r="F46" s="66"/>
      <c r="G46" s="62"/>
      <c r="H46" s="62"/>
      <c r="I46" s="209"/>
      <c r="J46" s="63"/>
      <c r="K46" s="63"/>
      <c r="L46" s="210"/>
      <c r="M46" s="62"/>
      <c r="N46" s="62"/>
      <c r="O46" s="62"/>
      <c r="P46" s="71"/>
      <c r="Q46" s="62"/>
      <c r="R46" s="62"/>
      <c r="S46" s="62"/>
      <c r="T46" s="62"/>
      <c r="U46" s="211"/>
      <c r="V46" s="62"/>
      <c r="W46" s="62"/>
      <c r="X46" s="62"/>
      <c r="Y46" s="78"/>
      <c r="Z46" s="62"/>
      <c r="AA46" s="62"/>
      <c r="AB46" s="62"/>
      <c r="AC46" s="62"/>
      <c r="AD46" s="212"/>
      <c r="AE46" s="213"/>
      <c r="AF46" s="213"/>
      <c r="AG46" s="213"/>
      <c r="AH46" s="67"/>
      <c r="AI46" s="214"/>
    </row>
    <row r="47" ht="15.75" customHeight="1">
      <c r="A47" s="74">
        <v>40.0</v>
      </c>
      <c r="B47" s="130"/>
      <c r="C47" s="215"/>
      <c r="D47" s="62"/>
      <c r="E47" s="62"/>
      <c r="F47" s="66"/>
      <c r="G47" s="62"/>
      <c r="H47" s="62"/>
      <c r="I47" s="209"/>
      <c r="J47" s="63"/>
      <c r="K47" s="63"/>
      <c r="L47" s="210"/>
      <c r="M47" s="62"/>
      <c r="N47" s="62"/>
      <c r="O47" s="62"/>
      <c r="P47" s="71"/>
      <c r="Q47" s="62"/>
      <c r="R47" s="62"/>
      <c r="S47" s="62"/>
      <c r="T47" s="62"/>
      <c r="U47" s="211"/>
      <c r="V47" s="62"/>
      <c r="W47" s="62"/>
      <c r="X47" s="62"/>
      <c r="Y47" s="78"/>
      <c r="Z47" s="62"/>
      <c r="AA47" s="62"/>
      <c r="AB47" s="62"/>
      <c r="AC47" s="62"/>
      <c r="AD47" s="212"/>
      <c r="AE47" s="213"/>
      <c r="AF47" s="213"/>
      <c r="AG47" s="213"/>
      <c r="AH47" s="67"/>
      <c r="AI47" s="21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6:B7"/>
    <mergeCell ref="C6:C7"/>
    <mergeCell ref="D6:F6"/>
    <mergeCell ref="G6:I6"/>
    <mergeCell ref="J6:L6"/>
    <mergeCell ref="M6:P6"/>
    <mergeCell ref="Q6:U6"/>
    <mergeCell ref="V6:Y6"/>
    <mergeCell ref="Z6:AD6"/>
    <mergeCell ref="AE6:AH6"/>
    <mergeCell ref="A1:AI1"/>
    <mergeCell ref="C3:P3"/>
    <mergeCell ref="Q3:U3"/>
    <mergeCell ref="V3:AE3"/>
    <mergeCell ref="C4:P4"/>
    <mergeCell ref="V4:AE4"/>
    <mergeCell ref="A6:A7"/>
    <mergeCell ref="AI6:AI7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0"/>
    <col customWidth="1" min="2" max="2" width="34.67"/>
    <col customWidth="1" min="3" max="3" width="4.11"/>
    <col customWidth="1" min="4" max="6" width="4.0"/>
    <col customWidth="1" min="7" max="8" width="4.11"/>
    <col customWidth="1" min="9" max="9" width="4.33"/>
    <col customWidth="1" min="10" max="10" width="4.0"/>
    <col customWidth="1" min="11" max="11" width="4.33"/>
    <col customWidth="1" min="12" max="12" width="4.11"/>
    <col customWidth="1" min="13" max="13" width="4.0"/>
    <col customWidth="1" min="14" max="14" width="3.78"/>
    <col customWidth="1" min="15" max="15" width="4.33"/>
    <col customWidth="1" min="16" max="16" width="4.44"/>
    <col customWidth="1" min="17" max="17" width="4.33"/>
    <col customWidth="1" min="18" max="18" width="4.44"/>
    <col customWidth="1" min="19" max="19" width="4.67"/>
    <col customWidth="1" min="20" max="22" width="4.33"/>
    <col customWidth="1" min="23" max="23" width="4.0"/>
    <col customWidth="1" min="24" max="26" width="4.33"/>
    <col customWidth="1" min="27" max="27" width="4.11"/>
    <col customWidth="1" min="28" max="29" width="4.0"/>
    <col customWidth="1" min="30" max="30" width="4.11"/>
    <col customWidth="1" min="31" max="31" width="4.33"/>
    <col customWidth="1" min="32" max="32" width="4.0"/>
    <col customWidth="1" min="33" max="33" width="4.33"/>
    <col customWidth="1" min="34" max="34" width="4.44"/>
    <col customWidth="1" min="35" max="35" width="7.0"/>
  </cols>
  <sheetData>
    <row r="1" ht="26.25" customHeight="1">
      <c r="A1" s="173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AI2" s="7"/>
    </row>
    <row r="3" ht="24.0" customHeight="1">
      <c r="A3" s="4"/>
      <c r="B3" s="9" t="s">
        <v>1</v>
      </c>
      <c r="C3" s="10" t="s">
        <v>2</v>
      </c>
      <c r="Q3" s="9" t="s">
        <v>3</v>
      </c>
      <c r="V3" s="11" t="s">
        <v>104</v>
      </c>
      <c r="AI3" s="7"/>
    </row>
    <row r="4" ht="24.75" customHeight="1">
      <c r="A4" s="12"/>
      <c r="B4" s="13" t="s">
        <v>5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7</v>
      </c>
      <c r="R4" s="13"/>
      <c r="S4" s="13"/>
      <c r="T4" s="13"/>
      <c r="U4" s="13"/>
      <c r="V4" s="174" t="s">
        <v>105</v>
      </c>
      <c r="W4" s="15"/>
      <c r="X4" s="15"/>
      <c r="Y4" s="15"/>
      <c r="Z4" s="15"/>
      <c r="AA4" s="15"/>
      <c r="AB4" s="15"/>
      <c r="AC4" s="15"/>
      <c r="AD4" s="15"/>
      <c r="AE4" s="15"/>
      <c r="AF4" s="175"/>
      <c r="AG4" s="175"/>
      <c r="AH4" s="17"/>
      <c r="AI4" s="18"/>
    </row>
    <row r="5" ht="15.75" customHeight="1">
      <c r="A5" s="19"/>
      <c r="B5" s="19"/>
      <c r="C5" s="19"/>
    </row>
    <row r="6" ht="16.5" customHeight="1">
      <c r="A6" s="176" t="s">
        <v>9</v>
      </c>
      <c r="B6" s="177" t="s">
        <v>10</v>
      </c>
      <c r="C6" s="178" t="s">
        <v>11</v>
      </c>
      <c r="D6" s="22" t="s">
        <v>12</v>
      </c>
      <c r="E6" s="23"/>
      <c r="F6" s="24"/>
      <c r="G6" s="179" t="s">
        <v>53</v>
      </c>
      <c r="H6" s="23"/>
      <c r="I6" s="23"/>
      <c r="J6" s="180" t="s">
        <v>54</v>
      </c>
      <c r="K6" s="23"/>
      <c r="L6" s="23"/>
      <c r="M6" s="29" t="s">
        <v>55</v>
      </c>
      <c r="N6" s="23"/>
      <c r="O6" s="23"/>
      <c r="P6" s="23"/>
      <c r="Q6" s="181" t="s">
        <v>15</v>
      </c>
      <c r="R6" s="23"/>
      <c r="S6" s="23"/>
      <c r="T6" s="23"/>
      <c r="U6" s="24"/>
      <c r="V6" s="182" t="s">
        <v>16</v>
      </c>
      <c r="W6" s="183"/>
      <c r="X6" s="183"/>
      <c r="Y6" s="184"/>
      <c r="Z6" s="185" t="s">
        <v>17</v>
      </c>
      <c r="AA6" s="183"/>
      <c r="AB6" s="183"/>
      <c r="AC6" s="183"/>
      <c r="AD6" s="183"/>
      <c r="AE6" s="186" t="s">
        <v>18</v>
      </c>
      <c r="AF6" s="23"/>
      <c r="AG6" s="23"/>
      <c r="AH6" s="24"/>
      <c r="AI6" s="187" t="s">
        <v>19</v>
      </c>
    </row>
    <row r="7" ht="52.5" customHeight="1">
      <c r="A7" s="188"/>
      <c r="B7" s="189"/>
      <c r="C7" s="190"/>
      <c r="D7" s="217" t="s">
        <v>56</v>
      </c>
      <c r="E7" s="218" t="s">
        <v>57</v>
      </c>
      <c r="F7" s="219" t="s">
        <v>20</v>
      </c>
      <c r="G7" s="220" t="s">
        <v>56</v>
      </c>
      <c r="H7" s="221" t="s">
        <v>57</v>
      </c>
      <c r="I7" s="222" t="s">
        <v>20</v>
      </c>
      <c r="J7" s="223" t="s">
        <v>58</v>
      </c>
      <c r="K7" s="224" t="s">
        <v>59</v>
      </c>
      <c r="L7" s="225" t="s">
        <v>20</v>
      </c>
      <c r="M7" s="226" t="s">
        <v>60</v>
      </c>
      <c r="N7" s="227" t="s">
        <v>61</v>
      </c>
      <c r="O7" s="227" t="s">
        <v>62</v>
      </c>
      <c r="P7" s="228" t="s">
        <v>20</v>
      </c>
      <c r="Q7" s="229" t="s">
        <v>27</v>
      </c>
      <c r="R7" s="230" t="s">
        <v>63</v>
      </c>
      <c r="S7" s="230" t="s">
        <v>64</v>
      </c>
      <c r="T7" s="230" t="s">
        <v>65</v>
      </c>
      <c r="U7" s="231" t="s">
        <v>20</v>
      </c>
      <c r="V7" s="232" t="s">
        <v>66</v>
      </c>
      <c r="W7" s="233" t="s">
        <v>67</v>
      </c>
      <c r="X7" s="233" t="s">
        <v>68</v>
      </c>
      <c r="Y7" s="234" t="s">
        <v>20</v>
      </c>
      <c r="Z7" s="235" t="s">
        <v>69</v>
      </c>
      <c r="AA7" s="236" t="s">
        <v>70</v>
      </c>
      <c r="AB7" s="236" t="s">
        <v>71</v>
      </c>
      <c r="AC7" s="236" t="s">
        <v>72</v>
      </c>
      <c r="AD7" s="237" t="s">
        <v>20</v>
      </c>
      <c r="AE7" s="238" t="s">
        <v>73</v>
      </c>
      <c r="AF7" s="239" t="s">
        <v>74</v>
      </c>
      <c r="AG7" s="239" t="s">
        <v>75</v>
      </c>
      <c r="AH7" s="240" t="s">
        <v>20</v>
      </c>
      <c r="AI7" s="207"/>
    </row>
    <row r="8" ht="15.75" customHeight="1">
      <c r="A8" s="59">
        <v>1.0</v>
      </c>
      <c r="B8" s="241" t="s">
        <v>106</v>
      </c>
      <c r="C8" s="155" t="s">
        <v>44</v>
      </c>
      <c r="D8" s="155">
        <v>3.0</v>
      </c>
      <c r="E8" s="155">
        <v>2.0</v>
      </c>
      <c r="F8" s="157">
        <f t="shared" ref="F8:F12" si="1">SUM(D8:E8)/2</f>
        <v>2.5</v>
      </c>
      <c r="G8" s="155">
        <v>3.0</v>
      </c>
      <c r="H8" s="155">
        <v>2.0</v>
      </c>
      <c r="I8" s="242">
        <f t="shared" ref="I8:I26" si="2">SUM(G8:H8)/2</f>
        <v>2.5</v>
      </c>
      <c r="J8" s="156">
        <v>3.0</v>
      </c>
      <c r="K8" s="155">
        <v>3.0</v>
      </c>
      <c r="L8" s="243">
        <f t="shared" ref="L8:L26" si="3">SUM(J8:K8)/2</f>
        <v>3</v>
      </c>
      <c r="M8" s="155">
        <v>2.0</v>
      </c>
      <c r="N8" s="155">
        <v>2.0</v>
      </c>
      <c r="O8" s="156">
        <v>2.0</v>
      </c>
      <c r="P8" s="161">
        <f t="shared" ref="P8:P18" si="4">SUM(N8:O8)/2</f>
        <v>2</v>
      </c>
      <c r="Q8" s="155">
        <v>3.0</v>
      </c>
      <c r="R8" s="155">
        <v>3.0</v>
      </c>
      <c r="S8" s="156">
        <v>3.0</v>
      </c>
      <c r="T8" s="155">
        <v>2.0</v>
      </c>
      <c r="U8" s="244">
        <f t="shared" ref="U8:U19" si="5">SUM(R8:T8)/3</f>
        <v>2.666666667</v>
      </c>
      <c r="V8" s="155">
        <v>3.0</v>
      </c>
      <c r="W8" s="156">
        <v>3.0</v>
      </c>
      <c r="X8" s="155">
        <v>3.0</v>
      </c>
      <c r="Y8" s="72">
        <f t="shared" ref="Y8:Y35" si="6">SUM(V8:X8)/3</f>
        <v>3</v>
      </c>
      <c r="Z8" s="155">
        <v>3.0</v>
      </c>
      <c r="AA8" s="155">
        <v>3.0</v>
      </c>
      <c r="AB8" s="156">
        <v>3.0</v>
      </c>
      <c r="AC8" s="245">
        <v>3.0</v>
      </c>
      <c r="AD8" s="246">
        <f t="shared" ref="AD8:AD35" si="7">SUM(Z8:AC8)/4</f>
        <v>3</v>
      </c>
      <c r="AE8" s="247">
        <v>3.0</v>
      </c>
      <c r="AF8" s="156">
        <v>3.0</v>
      </c>
      <c r="AG8" s="156">
        <v>2.0</v>
      </c>
      <c r="AH8" s="248">
        <f t="shared" ref="AH8:AH35" si="8">SUM(AE8:AG8)/3</f>
        <v>2.666666667</v>
      </c>
      <c r="AI8" s="249">
        <f t="shared" ref="AI8:AI35" si="9">SUM(AH8,AD8,Y8,U8,Q8,N8,M8,L8,K8,H8)/10</f>
        <v>2.633333333</v>
      </c>
    </row>
    <row r="9" ht="15.75" customHeight="1">
      <c r="A9" s="74">
        <v>2.0</v>
      </c>
      <c r="B9" s="241" t="s">
        <v>107</v>
      </c>
      <c r="C9" s="62" t="s">
        <v>44</v>
      </c>
      <c r="D9" s="62">
        <v>3.0</v>
      </c>
      <c r="E9" s="62">
        <v>3.0</v>
      </c>
      <c r="F9" s="66">
        <f t="shared" si="1"/>
        <v>3</v>
      </c>
      <c r="G9" s="62">
        <v>3.0</v>
      </c>
      <c r="H9" s="62">
        <v>3.0</v>
      </c>
      <c r="I9" s="209">
        <f t="shared" si="2"/>
        <v>3</v>
      </c>
      <c r="J9" s="62">
        <v>3.0</v>
      </c>
      <c r="K9" s="62">
        <v>3.0</v>
      </c>
      <c r="L9" s="210">
        <f t="shared" si="3"/>
        <v>3</v>
      </c>
      <c r="M9" s="62">
        <v>2.0</v>
      </c>
      <c r="N9" s="62">
        <v>2.0</v>
      </c>
      <c r="O9" s="63">
        <v>2.0</v>
      </c>
      <c r="P9" s="71">
        <f t="shared" si="4"/>
        <v>2</v>
      </c>
      <c r="Q9" s="62">
        <v>4.0</v>
      </c>
      <c r="R9" s="62">
        <v>4.0</v>
      </c>
      <c r="S9" s="63">
        <v>3.0</v>
      </c>
      <c r="T9" s="62">
        <v>3.0</v>
      </c>
      <c r="U9" s="211">
        <f t="shared" si="5"/>
        <v>3.333333333</v>
      </c>
      <c r="V9" s="62">
        <v>3.0</v>
      </c>
      <c r="W9" s="63">
        <v>4.0</v>
      </c>
      <c r="X9" s="62">
        <v>4.0</v>
      </c>
      <c r="Y9" s="78">
        <f t="shared" si="6"/>
        <v>3.666666667</v>
      </c>
      <c r="Z9" s="62">
        <v>4.0</v>
      </c>
      <c r="AA9" s="62">
        <v>4.0</v>
      </c>
      <c r="AB9" s="63">
        <v>4.0</v>
      </c>
      <c r="AC9" s="250">
        <v>4.0</v>
      </c>
      <c r="AD9" s="212">
        <f t="shared" si="7"/>
        <v>4</v>
      </c>
      <c r="AE9" s="213">
        <v>3.0</v>
      </c>
      <c r="AF9" s="63">
        <v>4.0</v>
      </c>
      <c r="AG9" s="63">
        <v>2.0</v>
      </c>
      <c r="AH9" s="67">
        <f t="shared" si="8"/>
        <v>3</v>
      </c>
      <c r="AI9" s="251">
        <f t="shared" si="9"/>
        <v>3.1</v>
      </c>
    </row>
    <row r="10" ht="15.75" customHeight="1">
      <c r="A10" s="74">
        <v>3.0</v>
      </c>
      <c r="B10" s="241" t="s">
        <v>78</v>
      </c>
      <c r="C10" s="62" t="s">
        <v>44</v>
      </c>
      <c r="D10" s="62">
        <v>4.0</v>
      </c>
      <c r="E10" s="62">
        <v>4.0</v>
      </c>
      <c r="F10" s="66">
        <f t="shared" si="1"/>
        <v>4</v>
      </c>
      <c r="G10" s="62">
        <v>4.0</v>
      </c>
      <c r="H10" s="62">
        <v>4.0</v>
      </c>
      <c r="I10" s="209">
        <f t="shared" si="2"/>
        <v>4</v>
      </c>
      <c r="J10" s="62">
        <v>4.0</v>
      </c>
      <c r="K10" s="62">
        <v>4.0</v>
      </c>
      <c r="L10" s="210">
        <f t="shared" si="3"/>
        <v>4</v>
      </c>
      <c r="M10" s="62">
        <v>3.0</v>
      </c>
      <c r="N10" s="62">
        <v>3.0</v>
      </c>
      <c r="O10" s="63">
        <v>3.0</v>
      </c>
      <c r="P10" s="71">
        <f t="shared" si="4"/>
        <v>3</v>
      </c>
      <c r="Q10" s="62">
        <v>4.0</v>
      </c>
      <c r="R10" s="62">
        <v>4.0</v>
      </c>
      <c r="S10" s="63">
        <v>4.0</v>
      </c>
      <c r="T10" s="62">
        <v>4.0</v>
      </c>
      <c r="U10" s="211">
        <f t="shared" si="5"/>
        <v>4</v>
      </c>
      <c r="V10" s="62">
        <v>4.0</v>
      </c>
      <c r="W10" s="63">
        <v>4.0</v>
      </c>
      <c r="X10" s="62">
        <v>4.0</v>
      </c>
      <c r="Y10" s="78">
        <f t="shared" si="6"/>
        <v>4</v>
      </c>
      <c r="Z10" s="62">
        <v>4.0</v>
      </c>
      <c r="AA10" s="62">
        <v>4.0</v>
      </c>
      <c r="AB10" s="63">
        <v>4.0</v>
      </c>
      <c r="AC10" s="250">
        <v>4.0</v>
      </c>
      <c r="AD10" s="212">
        <f t="shared" si="7"/>
        <v>4</v>
      </c>
      <c r="AE10" s="213">
        <v>3.0</v>
      </c>
      <c r="AF10" s="63">
        <v>4.0</v>
      </c>
      <c r="AG10" s="63">
        <v>3.0</v>
      </c>
      <c r="AH10" s="67">
        <f t="shared" si="8"/>
        <v>3.333333333</v>
      </c>
      <c r="AI10" s="251">
        <f t="shared" si="9"/>
        <v>3.733333333</v>
      </c>
    </row>
    <row r="11" ht="15.75" customHeight="1">
      <c r="A11" s="74">
        <v>4.0</v>
      </c>
      <c r="B11" s="241" t="s">
        <v>108</v>
      </c>
      <c r="C11" s="62" t="s">
        <v>44</v>
      </c>
      <c r="D11" s="62">
        <v>4.0</v>
      </c>
      <c r="E11" s="62">
        <v>4.0</v>
      </c>
      <c r="F11" s="66">
        <f t="shared" si="1"/>
        <v>4</v>
      </c>
      <c r="G11" s="62">
        <v>4.0</v>
      </c>
      <c r="H11" s="62">
        <v>4.0</v>
      </c>
      <c r="I11" s="209">
        <f t="shared" si="2"/>
        <v>4</v>
      </c>
      <c r="J11" s="62">
        <v>3.0</v>
      </c>
      <c r="K11" s="62">
        <v>3.0</v>
      </c>
      <c r="L11" s="210">
        <f t="shared" si="3"/>
        <v>3</v>
      </c>
      <c r="M11" s="62">
        <v>3.0</v>
      </c>
      <c r="N11" s="62">
        <v>3.0</v>
      </c>
      <c r="O11" s="63">
        <v>3.0</v>
      </c>
      <c r="P11" s="71">
        <f t="shared" si="4"/>
        <v>3</v>
      </c>
      <c r="Q11" s="62">
        <v>4.0</v>
      </c>
      <c r="R11" s="62">
        <v>4.0</v>
      </c>
      <c r="S11" s="63">
        <v>3.0</v>
      </c>
      <c r="T11" s="62">
        <v>3.0</v>
      </c>
      <c r="U11" s="211">
        <f t="shared" si="5"/>
        <v>3.333333333</v>
      </c>
      <c r="V11" s="62">
        <v>3.0</v>
      </c>
      <c r="W11" s="63">
        <v>4.0</v>
      </c>
      <c r="X11" s="62">
        <v>4.0</v>
      </c>
      <c r="Y11" s="78">
        <f t="shared" si="6"/>
        <v>3.666666667</v>
      </c>
      <c r="Z11" s="62">
        <v>4.0</v>
      </c>
      <c r="AA11" s="62">
        <v>4.0</v>
      </c>
      <c r="AB11" s="63">
        <v>4.0</v>
      </c>
      <c r="AC11" s="250">
        <v>4.0</v>
      </c>
      <c r="AD11" s="212">
        <f t="shared" si="7"/>
        <v>4</v>
      </c>
      <c r="AE11" s="213">
        <v>4.0</v>
      </c>
      <c r="AF11" s="63">
        <v>4.0</v>
      </c>
      <c r="AG11" s="63">
        <v>3.0</v>
      </c>
      <c r="AH11" s="67">
        <f t="shared" si="8"/>
        <v>3.666666667</v>
      </c>
      <c r="AI11" s="251">
        <f t="shared" si="9"/>
        <v>3.466666667</v>
      </c>
    </row>
    <row r="12" ht="15.75" customHeight="1">
      <c r="A12" s="74">
        <v>5.0</v>
      </c>
      <c r="B12" s="252" t="s">
        <v>109</v>
      </c>
      <c r="C12" s="62" t="s">
        <v>45</v>
      </c>
      <c r="D12" s="62">
        <v>4.0</v>
      </c>
      <c r="E12" s="62">
        <v>4.0</v>
      </c>
      <c r="F12" s="66">
        <f t="shared" si="1"/>
        <v>4</v>
      </c>
      <c r="G12" s="62">
        <v>4.0</v>
      </c>
      <c r="H12" s="62">
        <v>4.0</v>
      </c>
      <c r="I12" s="209">
        <f t="shared" si="2"/>
        <v>4</v>
      </c>
      <c r="J12" s="62">
        <v>4.0</v>
      </c>
      <c r="K12" s="62">
        <v>4.0</v>
      </c>
      <c r="L12" s="210">
        <f t="shared" si="3"/>
        <v>4</v>
      </c>
      <c r="M12" s="62">
        <v>3.0</v>
      </c>
      <c r="N12" s="62">
        <v>3.0</v>
      </c>
      <c r="O12" s="63">
        <v>3.0</v>
      </c>
      <c r="P12" s="71">
        <f t="shared" si="4"/>
        <v>3</v>
      </c>
      <c r="Q12" s="62">
        <v>4.0</v>
      </c>
      <c r="R12" s="62">
        <v>4.0</v>
      </c>
      <c r="S12" s="63">
        <v>4.0</v>
      </c>
      <c r="T12" s="62">
        <v>4.0</v>
      </c>
      <c r="U12" s="211">
        <f t="shared" si="5"/>
        <v>4</v>
      </c>
      <c r="V12" s="62">
        <v>4.0</v>
      </c>
      <c r="W12" s="63">
        <v>4.0</v>
      </c>
      <c r="X12" s="62">
        <v>4.0</v>
      </c>
      <c r="Y12" s="78">
        <f t="shared" si="6"/>
        <v>4</v>
      </c>
      <c r="Z12" s="62">
        <v>4.0</v>
      </c>
      <c r="AA12" s="62">
        <v>4.0</v>
      </c>
      <c r="AB12" s="63">
        <v>4.0</v>
      </c>
      <c r="AC12" s="250">
        <v>4.0</v>
      </c>
      <c r="AD12" s="212">
        <f t="shared" si="7"/>
        <v>4</v>
      </c>
      <c r="AE12" s="213">
        <v>4.0</v>
      </c>
      <c r="AF12" s="63">
        <v>4.0</v>
      </c>
      <c r="AG12" s="63">
        <v>3.0</v>
      </c>
      <c r="AH12" s="67">
        <f t="shared" si="8"/>
        <v>3.666666667</v>
      </c>
      <c r="AI12" s="251">
        <f t="shared" si="9"/>
        <v>3.766666667</v>
      </c>
    </row>
    <row r="13" ht="15.75" customHeight="1">
      <c r="A13" s="74">
        <v>6.0</v>
      </c>
      <c r="B13" s="241" t="s">
        <v>110</v>
      </c>
      <c r="C13" s="62" t="s">
        <v>44</v>
      </c>
      <c r="D13" s="62">
        <v>3.0</v>
      </c>
      <c r="E13" s="62">
        <v>3.0</v>
      </c>
      <c r="F13" s="66">
        <v>0.0</v>
      </c>
      <c r="G13" s="62">
        <v>3.0</v>
      </c>
      <c r="H13" s="62">
        <v>3.0</v>
      </c>
      <c r="I13" s="209">
        <f t="shared" si="2"/>
        <v>3</v>
      </c>
      <c r="J13" s="62">
        <v>3.0</v>
      </c>
      <c r="K13" s="62">
        <v>3.0</v>
      </c>
      <c r="L13" s="210">
        <f t="shared" si="3"/>
        <v>3</v>
      </c>
      <c r="M13" s="62">
        <v>2.0</v>
      </c>
      <c r="N13" s="62">
        <v>2.0</v>
      </c>
      <c r="O13" s="63">
        <v>2.0</v>
      </c>
      <c r="P13" s="71">
        <f t="shared" si="4"/>
        <v>2</v>
      </c>
      <c r="Q13" s="62">
        <v>3.0</v>
      </c>
      <c r="R13" s="62">
        <v>3.0</v>
      </c>
      <c r="S13" s="63">
        <v>3.0</v>
      </c>
      <c r="T13" s="62">
        <v>3.0</v>
      </c>
      <c r="U13" s="211">
        <f t="shared" si="5"/>
        <v>3</v>
      </c>
      <c r="V13" s="62">
        <v>3.0</v>
      </c>
      <c r="W13" s="63">
        <v>3.0</v>
      </c>
      <c r="X13" s="62">
        <v>3.0</v>
      </c>
      <c r="Y13" s="78">
        <f t="shared" si="6"/>
        <v>3</v>
      </c>
      <c r="Z13" s="62">
        <v>3.0</v>
      </c>
      <c r="AA13" s="62">
        <v>3.0</v>
      </c>
      <c r="AB13" s="63">
        <v>3.0</v>
      </c>
      <c r="AC13" s="250">
        <v>3.0</v>
      </c>
      <c r="AD13" s="212">
        <f t="shared" si="7"/>
        <v>3</v>
      </c>
      <c r="AE13" s="213">
        <v>3.0</v>
      </c>
      <c r="AF13" s="63">
        <v>3.0</v>
      </c>
      <c r="AG13" s="63">
        <v>3.0</v>
      </c>
      <c r="AH13" s="67">
        <f t="shared" si="8"/>
        <v>3</v>
      </c>
      <c r="AI13" s="251">
        <f t="shared" si="9"/>
        <v>2.8</v>
      </c>
    </row>
    <row r="14" ht="15.75" customHeight="1">
      <c r="A14" s="74">
        <v>7.0</v>
      </c>
      <c r="B14" s="241" t="s">
        <v>111</v>
      </c>
      <c r="C14" s="62" t="s">
        <v>44</v>
      </c>
      <c r="D14" s="62">
        <v>4.0</v>
      </c>
      <c r="E14" s="62">
        <v>4.0</v>
      </c>
      <c r="F14" s="66">
        <f t="shared" ref="F14:F15" si="10">SUM(D14:E14)/2</f>
        <v>4</v>
      </c>
      <c r="G14" s="62">
        <v>4.0</v>
      </c>
      <c r="H14" s="62">
        <v>4.0</v>
      </c>
      <c r="I14" s="209">
        <f t="shared" si="2"/>
        <v>4</v>
      </c>
      <c r="J14" s="62">
        <v>4.0</v>
      </c>
      <c r="K14" s="62">
        <v>4.0</v>
      </c>
      <c r="L14" s="210">
        <f t="shared" si="3"/>
        <v>4</v>
      </c>
      <c r="M14" s="62">
        <v>3.0</v>
      </c>
      <c r="N14" s="62">
        <v>3.0</v>
      </c>
      <c r="O14" s="63">
        <v>3.0</v>
      </c>
      <c r="P14" s="71">
        <f t="shared" si="4"/>
        <v>3</v>
      </c>
      <c r="Q14" s="62">
        <v>3.0</v>
      </c>
      <c r="R14" s="62">
        <v>3.0</v>
      </c>
      <c r="S14" s="63">
        <v>3.0</v>
      </c>
      <c r="T14" s="62">
        <v>3.0</v>
      </c>
      <c r="U14" s="211">
        <f t="shared" si="5"/>
        <v>3</v>
      </c>
      <c r="V14" s="62">
        <v>3.0</v>
      </c>
      <c r="W14" s="63">
        <v>3.0</v>
      </c>
      <c r="X14" s="62">
        <v>3.0</v>
      </c>
      <c r="Y14" s="78">
        <f t="shared" si="6"/>
        <v>3</v>
      </c>
      <c r="Z14" s="62">
        <v>3.0</v>
      </c>
      <c r="AA14" s="62">
        <v>3.0</v>
      </c>
      <c r="AB14" s="63">
        <v>3.0</v>
      </c>
      <c r="AC14" s="250">
        <v>3.0</v>
      </c>
      <c r="AD14" s="212">
        <f t="shared" si="7"/>
        <v>3</v>
      </c>
      <c r="AE14" s="213">
        <v>3.0</v>
      </c>
      <c r="AF14" s="63">
        <v>3.0</v>
      </c>
      <c r="AG14" s="63">
        <v>3.0</v>
      </c>
      <c r="AH14" s="67">
        <f t="shared" si="8"/>
        <v>3</v>
      </c>
      <c r="AI14" s="251">
        <f t="shared" si="9"/>
        <v>3.3</v>
      </c>
    </row>
    <row r="15" ht="15.75" customHeight="1">
      <c r="A15" s="74">
        <v>8.0</v>
      </c>
      <c r="B15" s="252" t="s">
        <v>112</v>
      </c>
      <c r="C15" s="62" t="s">
        <v>44</v>
      </c>
      <c r="D15" s="62">
        <v>4.0</v>
      </c>
      <c r="E15" s="62">
        <v>4.0</v>
      </c>
      <c r="F15" s="66">
        <f t="shared" si="10"/>
        <v>4</v>
      </c>
      <c r="G15" s="62">
        <v>4.0</v>
      </c>
      <c r="H15" s="62">
        <v>4.0</v>
      </c>
      <c r="I15" s="209">
        <f t="shared" si="2"/>
        <v>4</v>
      </c>
      <c r="J15" s="62">
        <v>3.0</v>
      </c>
      <c r="K15" s="62">
        <v>3.0</v>
      </c>
      <c r="L15" s="210">
        <f t="shared" si="3"/>
        <v>3</v>
      </c>
      <c r="M15" s="62">
        <v>3.0</v>
      </c>
      <c r="N15" s="62">
        <v>3.0</v>
      </c>
      <c r="O15" s="63">
        <v>3.0</v>
      </c>
      <c r="P15" s="71">
        <f t="shared" si="4"/>
        <v>3</v>
      </c>
      <c r="Q15" s="62">
        <v>3.0</v>
      </c>
      <c r="R15" s="62">
        <v>3.0</v>
      </c>
      <c r="S15" s="63">
        <v>3.0</v>
      </c>
      <c r="T15" s="62">
        <v>3.0</v>
      </c>
      <c r="U15" s="211">
        <f t="shared" si="5"/>
        <v>3</v>
      </c>
      <c r="V15" s="62">
        <v>3.0</v>
      </c>
      <c r="W15" s="63">
        <v>3.0</v>
      </c>
      <c r="X15" s="62">
        <v>3.0</v>
      </c>
      <c r="Y15" s="78">
        <f t="shared" si="6"/>
        <v>3</v>
      </c>
      <c r="Z15" s="62">
        <v>3.0</v>
      </c>
      <c r="AA15" s="62">
        <v>3.0</v>
      </c>
      <c r="AB15" s="63">
        <v>3.0</v>
      </c>
      <c r="AC15" s="250">
        <v>3.0</v>
      </c>
      <c r="AD15" s="212">
        <f t="shared" si="7"/>
        <v>3</v>
      </c>
      <c r="AE15" s="213">
        <v>3.0</v>
      </c>
      <c r="AF15" s="63">
        <v>3.0</v>
      </c>
      <c r="AG15" s="63">
        <v>3.0</v>
      </c>
      <c r="AH15" s="67">
        <f t="shared" si="8"/>
        <v>3</v>
      </c>
      <c r="AI15" s="251">
        <f t="shared" si="9"/>
        <v>3.1</v>
      </c>
    </row>
    <row r="16" ht="15.75" customHeight="1">
      <c r="A16" s="74">
        <v>9.0</v>
      </c>
      <c r="B16" s="241" t="s">
        <v>113</v>
      </c>
      <c r="C16" s="62" t="s">
        <v>44</v>
      </c>
      <c r="D16" s="62">
        <v>4.0</v>
      </c>
      <c r="E16" s="62">
        <v>4.0</v>
      </c>
      <c r="F16" s="66">
        <v>3.0</v>
      </c>
      <c r="G16" s="62">
        <v>4.0</v>
      </c>
      <c r="H16" s="62">
        <v>4.0</v>
      </c>
      <c r="I16" s="209">
        <f t="shared" si="2"/>
        <v>4</v>
      </c>
      <c r="J16" s="62">
        <v>4.0</v>
      </c>
      <c r="K16" s="62">
        <v>4.0</v>
      </c>
      <c r="L16" s="210">
        <f t="shared" si="3"/>
        <v>4</v>
      </c>
      <c r="M16" s="62">
        <v>3.0</v>
      </c>
      <c r="N16" s="62">
        <v>3.0</v>
      </c>
      <c r="O16" s="63">
        <v>3.0</v>
      </c>
      <c r="P16" s="71">
        <f t="shared" si="4"/>
        <v>3</v>
      </c>
      <c r="Q16" s="62">
        <v>4.0</v>
      </c>
      <c r="R16" s="62">
        <v>4.0</v>
      </c>
      <c r="S16" s="63">
        <v>4.0</v>
      </c>
      <c r="T16" s="62">
        <v>4.0</v>
      </c>
      <c r="U16" s="211">
        <f t="shared" si="5"/>
        <v>4</v>
      </c>
      <c r="V16" s="62">
        <v>4.0</v>
      </c>
      <c r="W16" s="63">
        <v>4.0</v>
      </c>
      <c r="X16" s="62">
        <v>4.0</v>
      </c>
      <c r="Y16" s="78">
        <f t="shared" si="6"/>
        <v>4</v>
      </c>
      <c r="Z16" s="62">
        <v>4.0</v>
      </c>
      <c r="AA16" s="62">
        <v>4.0</v>
      </c>
      <c r="AB16" s="63">
        <v>4.0</v>
      </c>
      <c r="AC16" s="250">
        <v>4.0</v>
      </c>
      <c r="AD16" s="212">
        <f t="shared" si="7"/>
        <v>4</v>
      </c>
      <c r="AE16" s="213">
        <v>4.0</v>
      </c>
      <c r="AF16" s="63">
        <v>4.0</v>
      </c>
      <c r="AG16" s="63">
        <v>3.0</v>
      </c>
      <c r="AH16" s="67">
        <f t="shared" si="8"/>
        <v>3.666666667</v>
      </c>
      <c r="AI16" s="251">
        <f t="shared" si="9"/>
        <v>3.766666667</v>
      </c>
    </row>
    <row r="17" ht="15.75" customHeight="1">
      <c r="A17" s="74">
        <v>10.0</v>
      </c>
      <c r="B17" s="241" t="s">
        <v>114</v>
      </c>
      <c r="C17" s="62" t="s">
        <v>44</v>
      </c>
      <c r="D17" s="62">
        <v>4.0</v>
      </c>
      <c r="E17" s="62">
        <v>4.0</v>
      </c>
      <c r="F17" s="66">
        <f>SUM(D17:E17)/2</f>
        <v>4</v>
      </c>
      <c r="G17" s="62">
        <v>4.0</v>
      </c>
      <c r="H17" s="62">
        <v>4.0</v>
      </c>
      <c r="I17" s="209">
        <f t="shared" si="2"/>
        <v>4</v>
      </c>
      <c r="J17" s="62">
        <v>4.0</v>
      </c>
      <c r="K17" s="62">
        <v>4.0</v>
      </c>
      <c r="L17" s="210">
        <f t="shared" si="3"/>
        <v>4</v>
      </c>
      <c r="M17" s="62">
        <v>3.0</v>
      </c>
      <c r="N17" s="62">
        <v>3.0</v>
      </c>
      <c r="O17" s="63">
        <v>3.0</v>
      </c>
      <c r="P17" s="71">
        <f t="shared" si="4"/>
        <v>3</v>
      </c>
      <c r="Q17" s="62">
        <v>4.0</v>
      </c>
      <c r="R17" s="62">
        <v>4.0</v>
      </c>
      <c r="S17" s="63">
        <v>4.0</v>
      </c>
      <c r="T17" s="62">
        <v>4.0</v>
      </c>
      <c r="U17" s="211">
        <f t="shared" si="5"/>
        <v>4</v>
      </c>
      <c r="V17" s="62">
        <v>4.0</v>
      </c>
      <c r="W17" s="63">
        <v>4.0</v>
      </c>
      <c r="X17" s="62">
        <v>4.0</v>
      </c>
      <c r="Y17" s="78">
        <f t="shared" si="6"/>
        <v>4</v>
      </c>
      <c r="Z17" s="62">
        <v>4.0</v>
      </c>
      <c r="AA17" s="62">
        <v>4.0</v>
      </c>
      <c r="AB17" s="63">
        <v>4.0</v>
      </c>
      <c r="AC17" s="250">
        <v>4.0</v>
      </c>
      <c r="AD17" s="212">
        <f t="shared" si="7"/>
        <v>4</v>
      </c>
      <c r="AE17" s="213">
        <v>4.0</v>
      </c>
      <c r="AF17" s="63">
        <v>4.0</v>
      </c>
      <c r="AG17" s="63">
        <v>3.0</v>
      </c>
      <c r="AH17" s="67">
        <f t="shared" si="8"/>
        <v>3.666666667</v>
      </c>
      <c r="AI17" s="251">
        <f t="shared" si="9"/>
        <v>3.766666667</v>
      </c>
    </row>
    <row r="18" ht="15.75" customHeight="1">
      <c r="A18" s="74">
        <v>11.0</v>
      </c>
      <c r="B18" s="241" t="s">
        <v>115</v>
      </c>
      <c r="C18" s="62" t="s">
        <v>44</v>
      </c>
      <c r="D18" s="62">
        <v>4.0</v>
      </c>
      <c r="E18" s="62">
        <v>4.0</v>
      </c>
      <c r="F18" s="66">
        <v>3.0</v>
      </c>
      <c r="G18" s="62">
        <v>4.0</v>
      </c>
      <c r="H18" s="62">
        <v>4.0</v>
      </c>
      <c r="I18" s="209">
        <f t="shared" si="2"/>
        <v>4</v>
      </c>
      <c r="J18" s="62">
        <v>4.0</v>
      </c>
      <c r="K18" s="62">
        <v>4.0</v>
      </c>
      <c r="L18" s="210">
        <f t="shared" si="3"/>
        <v>4</v>
      </c>
      <c r="M18" s="62">
        <v>3.0</v>
      </c>
      <c r="N18" s="62">
        <v>3.0</v>
      </c>
      <c r="O18" s="63">
        <v>3.0</v>
      </c>
      <c r="P18" s="71">
        <f t="shared" si="4"/>
        <v>3</v>
      </c>
      <c r="Q18" s="62">
        <v>4.0</v>
      </c>
      <c r="R18" s="62">
        <v>4.0</v>
      </c>
      <c r="S18" s="63">
        <v>4.0</v>
      </c>
      <c r="T18" s="62">
        <v>4.0</v>
      </c>
      <c r="U18" s="211">
        <f t="shared" si="5"/>
        <v>4</v>
      </c>
      <c r="V18" s="62">
        <v>4.0</v>
      </c>
      <c r="W18" s="63">
        <v>4.0</v>
      </c>
      <c r="X18" s="62">
        <v>4.0</v>
      </c>
      <c r="Y18" s="78">
        <f t="shared" si="6"/>
        <v>4</v>
      </c>
      <c r="Z18" s="62">
        <v>4.0</v>
      </c>
      <c r="AA18" s="62">
        <v>4.0</v>
      </c>
      <c r="AB18" s="63">
        <v>4.0</v>
      </c>
      <c r="AC18" s="250">
        <v>4.0</v>
      </c>
      <c r="AD18" s="212">
        <f t="shared" si="7"/>
        <v>4</v>
      </c>
      <c r="AE18" s="213">
        <v>4.0</v>
      </c>
      <c r="AF18" s="63">
        <v>4.0</v>
      </c>
      <c r="AG18" s="63">
        <v>3.0</v>
      </c>
      <c r="AH18" s="67">
        <f t="shared" si="8"/>
        <v>3.666666667</v>
      </c>
      <c r="AI18" s="251">
        <f t="shared" si="9"/>
        <v>3.766666667</v>
      </c>
    </row>
    <row r="19" ht="15.75" customHeight="1">
      <c r="A19" s="74">
        <v>12.0</v>
      </c>
      <c r="B19" s="241" t="s">
        <v>116</v>
      </c>
      <c r="C19" s="62" t="s">
        <v>44</v>
      </c>
      <c r="D19" s="62">
        <v>5.0</v>
      </c>
      <c r="E19" s="62">
        <v>5.0</v>
      </c>
      <c r="F19" s="66">
        <f t="shared" ref="F19:F23" si="11">SUM(D19:E19)/2</f>
        <v>5</v>
      </c>
      <c r="G19" s="62">
        <v>5.0</v>
      </c>
      <c r="H19" s="62">
        <v>5.0</v>
      </c>
      <c r="I19" s="209">
        <f t="shared" si="2"/>
        <v>5</v>
      </c>
      <c r="J19" s="62">
        <v>5.0</v>
      </c>
      <c r="K19" s="62">
        <v>5.0</v>
      </c>
      <c r="L19" s="210">
        <f t="shared" si="3"/>
        <v>5</v>
      </c>
      <c r="M19" s="62">
        <v>5.0</v>
      </c>
      <c r="N19" s="62">
        <v>5.0</v>
      </c>
      <c r="O19" s="63">
        <v>5.0</v>
      </c>
      <c r="P19" s="71">
        <v>0.0</v>
      </c>
      <c r="Q19" s="62">
        <v>5.0</v>
      </c>
      <c r="R19" s="62">
        <v>5.0</v>
      </c>
      <c r="S19" s="63">
        <v>4.0</v>
      </c>
      <c r="T19" s="62">
        <v>4.0</v>
      </c>
      <c r="U19" s="211">
        <f t="shared" si="5"/>
        <v>4.333333333</v>
      </c>
      <c r="V19" s="62">
        <v>4.0</v>
      </c>
      <c r="W19" s="63">
        <v>4.0</v>
      </c>
      <c r="X19" s="62">
        <v>4.0</v>
      </c>
      <c r="Y19" s="78">
        <f t="shared" si="6"/>
        <v>4</v>
      </c>
      <c r="Z19" s="62">
        <v>4.0</v>
      </c>
      <c r="AA19" s="62">
        <v>4.0</v>
      </c>
      <c r="AB19" s="63">
        <v>4.0</v>
      </c>
      <c r="AC19" s="250">
        <v>4.0</v>
      </c>
      <c r="AD19" s="212">
        <f t="shared" si="7"/>
        <v>4</v>
      </c>
      <c r="AE19" s="213">
        <v>5.0</v>
      </c>
      <c r="AF19" s="63">
        <v>5.0</v>
      </c>
      <c r="AG19" s="63">
        <v>5.0</v>
      </c>
      <c r="AH19" s="67">
        <f t="shared" si="8"/>
        <v>5</v>
      </c>
      <c r="AI19" s="251">
        <f t="shared" si="9"/>
        <v>4.733333333</v>
      </c>
    </row>
    <row r="20" ht="15.75" customHeight="1">
      <c r="A20" s="74">
        <v>13.0</v>
      </c>
      <c r="B20" s="241" t="s">
        <v>117</v>
      </c>
      <c r="C20" s="62" t="s">
        <v>44</v>
      </c>
      <c r="D20" s="62">
        <v>3.0</v>
      </c>
      <c r="E20" s="62">
        <v>3.0</v>
      </c>
      <c r="F20" s="66">
        <f t="shared" si="11"/>
        <v>3</v>
      </c>
      <c r="G20" s="62">
        <v>3.0</v>
      </c>
      <c r="H20" s="62">
        <v>3.0</v>
      </c>
      <c r="I20" s="209">
        <f t="shared" si="2"/>
        <v>3</v>
      </c>
      <c r="J20" s="62">
        <v>3.0</v>
      </c>
      <c r="K20" s="62">
        <v>3.0</v>
      </c>
      <c r="L20" s="210">
        <f t="shared" si="3"/>
        <v>3</v>
      </c>
      <c r="M20" s="62">
        <v>3.0</v>
      </c>
      <c r="N20" s="62">
        <v>3.0</v>
      </c>
      <c r="O20" s="63">
        <v>3.0</v>
      </c>
      <c r="P20" s="71">
        <f t="shared" ref="P20:P26" si="12">SUM(N20:O20)/2</f>
        <v>3</v>
      </c>
      <c r="Q20" s="62">
        <v>3.0</v>
      </c>
      <c r="R20" s="62">
        <v>3.0</v>
      </c>
      <c r="S20" s="63">
        <v>3.0</v>
      </c>
      <c r="T20" s="62">
        <v>3.0</v>
      </c>
      <c r="U20" s="211">
        <v>0.0</v>
      </c>
      <c r="V20" s="62">
        <v>3.0</v>
      </c>
      <c r="W20" s="63">
        <v>3.0</v>
      </c>
      <c r="X20" s="62">
        <v>3.0</v>
      </c>
      <c r="Y20" s="78">
        <f t="shared" si="6"/>
        <v>3</v>
      </c>
      <c r="Z20" s="62">
        <v>3.0</v>
      </c>
      <c r="AA20" s="62">
        <v>3.0</v>
      </c>
      <c r="AB20" s="63">
        <v>3.0</v>
      </c>
      <c r="AC20" s="250">
        <v>3.0</v>
      </c>
      <c r="AD20" s="212">
        <f t="shared" si="7"/>
        <v>3</v>
      </c>
      <c r="AE20" s="213">
        <v>3.0</v>
      </c>
      <c r="AF20" s="63">
        <v>3.0</v>
      </c>
      <c r="AG20" s="63">
        <v>3.0</v>
      </c>
      <c r="AH20" s="67">
        <f t="shared" si="8"/>
        <v>3</v>
      </c>
      <c r="AI20" s="251">
        <f t="shared" si="9"/>
        <v>2.7</v>
      </c>
    </row>
    <row r="21" ht="15.75" customHeight="1">
      <c r="A21" s="74">
        <v>14.0</v>
      </c>
      <c r="B21" s="241" t="s">
        <v>118</v>
      </c>
      <c r="C21" s="62" t="s">
        <v>44</v>
      </c>
      <c r="D21" s="62">
        <v>4.0</v>
      </c>
      <c r="E21" s="62">
        <v>4.0</v>
      </c>
      <c r="F21" s="66">
        <f t="shared" si="11"/>
        <v>4</v>
      </c>
      <c r="G21" s="62">
        <v>4.0</v>
      </c>
      <c r="H21" s="62">
        <v>4.0</v>
      </c>
      <c r="I21" s="209">
        <f t="shared" si="2"/>
        <v>4</v>
      </c>
      <c r="J21" s="62">
        <v>3.0</v>
      </c>
      <c r="K21" s="62">
        <v>3.0</v>
      </c>
      <c r="L21" s="210">
        <f t="shared" si="3"/>
        <v>3</v>
      </c>
      <c r="M21" s="62">
        <v>3.0</v>
      </c>
      <c r="N21" s="62">
        <v>3.0</v>
      </c>
      <c r="O21" s="63">
        <v>3.0</v>
      </c>
      <c r="P21" s="71">
        <f t="shared" si="12"/>
        <v>3</v>
      </c>
      <c r="Q21" s="62">
        <v>3.0</v>
      </c>
      <c r="R21" s="62">
        <v>3.0</v>
      </c>
      <c r="S21" s="63">
        <v>3.0</v>
      </c>
      <c r="T21" s="62">
        <v>3.0</v>
      </c>
      <c r="U21" s="211">
        <f t="shared" ref="U21:U33" si="13">SUM(R21:T21)/3</f>
        <v>3</v>
      </c>
      <c r="V21" s="62">
        <v>3.0</v>
      </c>
      <c r="W21" s="63">
        <v>3.0</v>
      </c>
      <c r="X21" s="62">
        <v>3.0</v>
      </c>
      <c r="Y21" s="78">
        <f t="shared" si="6"/>
        <v>3</v>
      </c>
      <c r="Z21" s="62">
        <v>3.0</v>
      </c>
      <c r="AA21" s="62">
        <v>3.0</v>
      </c>
      <c r="AB21" s="63">
        <v>3.0</v>
      </c>
      <c r="AC21" s="250">
        <v>3.0</v>
      </c>
      <c r="AD21" s="212">
        <f t="shared" si="7"/>
        <v>3</v>
      </c>
      <c r="AE21" s="213">
        <v>3.0</v>
      </c>
      <c r="AF21" s="63">
        <v>3.0</v>
      </c>
      <c r="AG21" s="63">
        <v>3.0</v>
      </c>
      <c r="AH21" s="67">
        <f t="shared" si="8"/>
        <v>3</v>
      </c>
      <c r="AI21" s="251">
        <f t="shared" si="9"/>
        <v>3.1</v>
      </c>
    </row>
    <row r="22" ht="15.75" customHeight="1">
      <c r="A22" s="74">
        <v>15.0</v>
      </c>
      <c r="B22" s="241" t="s">
        <v>119</v>
      </c>
      <c r="C22" s="62" t="s">
        <v>45</v>
      </c>
      <c r="D22" s="62">
        <v>4.0</v>
      </c>
      <c r="E22" s="62">
        <v>4.0</v>
      </c>
      <c r="F22" s="66">
        <f t="shared" si="11"/>
        <v>4</v>
      </c>
      <c r="G22" s="62">
        <v>4.0</v>
      </c>
      <c r="H22" s="62">
        <v>4.0</v>
      </c>
      <c r="I22" s="209">
        <f t="shared" si="2"/>
        <v>4</v>
      </c>
      <c r="J22" s="62">
        <v>4.0</v>
      </c>
      <c r="K22" s="62">
        <v>4.0</v>
      </c>
      <c r="L22" s="210">
        <f t="shared" si="3"/>
        <v>4</v>
      </c>
      <c r="M22" s="62">
        <v>3.0</v>
      </c>
      <c r="N22" s="62">
        <v>3.0</v>
      </c>
      <c r="O22" s="63">
        <v>3.0</v>
      </c>
      <c r="P22" s="71">
        <f t="shared" si="12"/>
        <v>3</v>
      </c>
      <c r="Q22" s="62">
        <v>3.0</v>
      </c>
      <c r="R22" s="62">
        <v>3.0</v>
      </c>
      <c r="S22" s="63">
        <v>3.0</v>
      </c>
      <c r="T22" s="62">
        <v>3.0</v>
      </c>
      <c r="U22" s="211">
        <f t="shared" si="13"/>
        <v>3</v>
      </c>
      <c r="V22" s="62">
        <v>3.0</v>
      </c>
      <c r="W22" s="63">
        <v>3.0</v>
      </c>
      <c r="X22" s="62">
        <v>3.0</v>
      </c>
      <c r="Y22" s="78">
        <f t="shared" si="6"/>
        <v>3</v>
      </c>
      <c r="Z22" s="62">
        <v>3.0</v>
      </c>
      <c r="AA22" s="62">
        <v>3.0</v>
      </c>
      <c r="AB22" s="63">
        <v>3.0</v>
      </c>
      <c r="AC22" s="250">
        <v>3.0</v>
      </c>
      <c r="AD22" s="212">
        <f t="shared" si="7"/>
        <v>3</v>
      </c>
      <c r="AE22" s="213">
        <v>3.0</v>
      </c>
      <c r="AF22" s="63">
        <v>3.0</v>
      </c>
      <c r="AG22" s="63">
        <v>3.0</v>
      </c>
      <c r="AH22" s="67">
        <f t="shared" si="8"/>
        <v>3</v>
      </c>
      <c r="AI22" s="251">
        <f t="shared" si="9"/>
        <v>3.3</v>
      </c>
    </row>
    <row r="23" ht="15.75" customHeight="1">
      <c r="A23" s="74">
        <v>16.0</v>
      </c>
      <c r="B23" s="241" t="s">
        <v>120</v>
      </c>
      <c r="C23" s="62" t="s">
        <v>45</v>
      </c>
      <c r="D23" s="62">
        <v>3.0</v>
      </c>
      <c r="E23" s="62">
        <v>2.0</v>
      </c>
      <c r="F23" s="66">
        <f t="shared" si="11"/>
        <v>2.5</v>
      </c>
      <c r="G23" s="62">
        <v>3.0</v>
      </c>
      <c r="H23" s="62">
        <v>2.0</v>
      </c>
      <c r="I23" s="209">
        <f t="shared" si="2"/>
        <v>2.5</v>
      </c>
      <c r="J23" s="62">
        <v>3.0</v>
      </c>
      <c r="K23" s="62">
        <v>3.0</v>
      </c>
      <c r="L23" s="210">
        <f t="shared" si="3"/>
        <v>3</v>
      </c>
      <c r="M23" s="62">
        <v>2.0</v>
      </c>
      <c r="N23" s="62">
        <v>2.0</v>
      </c>
      <c r="O23" s="63">
        <v>2.0</v>
      </c>
      <c r="P23" s="71">
        <f t="shared" si="12"/>
        <v>2</v>
      </c>
      <c r="Q23" s="62">
        <v>3.0</v>
      </c>
      <c r="R23" s="62">
        <v>3.0</v>
      </c>
      <c r="S23" s="63">
        <v>3.0</v>
      </c>
      <c r="T23" s="62">
        <v>3.0</v>
      </c>
      <c r="U23" s="211">
        <f t="shared" si="13"/>
        <v>3</v>
      </c>
      <c r="V23" s="62">
        <v>3.0</v>
      </c>
      <c r="W23" s="63">
        <v>3.0</v>
      </c>
      <c r="X23" s="62">
        <v>3.0</v>
      </c>
      <c r="Y23" s="78">
        <f t="shared" si="6"/>
        <v>3</v>
      </c>
      <c r="Z23" s="62">
        <v>3.0</v>
      </c>
      <c r="AA23" s="62">
        <v>3.0</v>
      </c>
      <c r="AB23" s="63">
        <v>3.0</v>
      </c>
      <c r="AC23" s="250">
        <v>3.0</v>
      </c>
      <c r="AD23" s="212">
        <f t="shared" si="7"/>
        <v>3</v>
      </c>
      <c r="AE23" s="213">
        <v>3.0</v>
      </c>
      <c r="AF23" s="63">
        <v>3.0</v>
      </c>
      <c r="AG23" s="63">
        <v>2.0</v>
      </c>
      <c r="AH23" s="67">
        <f t="shared" si="8"/>
        <v>2.666666667</v>
      </c>
      <c r="AI23" s="251">
        <f t="shared" si="9"/>
        <v>2.666666667</v>
      </c>
    </row>
    <row r="24" ht="15.75" customHeight="1">
      <c r="A24" s="74">
        <v>17.0</v>
      </c>
      <c r="B24" s="241" t="s">
        <v>121</v>
      </c>
      <c r="C24" s="62" t="s">
        <v>45</v>
      </c>
      <c r="D24" s="62">
        <v>3.0</v>
      </c>
      <c r="E24" s="62">
        <v>3.0</v>
      </c>
      <c r="F24" s="66">
        <v>3.0</v>
      </c>
      <c r="G24" s="62">
        <v>3.0</v>
      </c>
      <c r="H24" s="62">
        <v>3.0</v>
      </c>
      <c r="I24" s="209">
        <f t="shared" si="2"/>
        <v>3</v>
      </c>
      <c r="J24" s="62">
        <v>3.0</v>
      </c>
      <c r="K24" s="62">
        <v>3.0</v>
      </c>
      <c r="L24" s="210">
        <f t="shared" si="3"/>
        <v>3</v>
      </c>
      <c r="M24" s="62">
        <v>3.0</v>
      </c>
      <c r="N24" s="62">
        <v>3.0</v>
      </c>
      <c r="O24" s="63">
        <v>3.0</v>
      </c>
      <c r="P24" s="71">
        <f t="shared" si="12"/>
        <v>3</v>
      </c>
      <c r="Q24" s="62">
        <v>3.0</v>
      </c>
      <c r="R24" s="62">
        <v>3.0</v>
      </c>
      <c r="S24" s="63">
        <v>3.0</v>
      </c>
      <c r="T24" s="62">
        <v>3.0</v>
      </c>
      <c r="U24" s="211">
        <f t="shared" si="13"/>
        <v>3</v>
      </c>
      <c r="V24" s="62">
        <v>3.0</v>
      </c>
      <c r="W24" s="63">
        <v>3.0</v>
      </c>
      <c r="X24" s="62">
        <v>3.0</v>
      </c>
      <c r="Y24" s="78">
        <f t="shared" si="6"/>
        <v>3</v>
      </c>
      <c r="Z24" s="62">
        <v>3.0</v>
      </c>
      <c r="AA24" s="62">
        <v>3.0</v>
      </c>
      <c r="AB24" s="63">
        <v>3.0</v>
      </c>
      <c r="AC24" s="250">
        <v>3.0</v>
      </c>
      <c r="AD24" s="212">
        <f t="shared" si="7"/>
        <v>3</v>
      </c>
      <c r="AE24" s="213">
        <v>3.0</v>
      </c>
      <c r="AF24" s="63">
        <v>3.0</v>
      </c>
      <c r="AG24" s="63">
        <v>3.0</v>
      </c>
      <c r="AH24" s="67">
        <f t="shared" si="8"/>
        <v>3</v>
      </c>
      <c r="AI24" s="251">
        <f t="shared" si="9"/>
        <v>3</v>
      </c>
    </row>
    <row r="25" ht="15.75" customHeight="1">
      <c r="A25" s="74">
        <v>18.0</v>
      </c>
      <c r="B25" s="241" t="s">
        <v>122</v>
      </c>
      <c r="C25" s="62" t="s">
        <v>45</v>
      </c>
      <c r="D25" s="62">
        <v>3.0</v>
      </c>
      <c r="E25" s="62">
        <v>3.0</v>
      </c>
      <c r="F25" s="66">
        <f t="shared" ref="F25:F26" si="14">SUM(D25:E25)/2</f>
        <v>3</v>
      </c>
      <c r="G25" s="62">
        <v>3.0</v>
      </c>
      <c r="H25" s="62">
        <v>3.0</v>
      </c>
      <c r="I25" s="209">
        <f t="shared" si="2"/>
        <v>3</v>
      </c>
      <c r="J25" s="62">
        <v>3.0</v>
      </c>
      <c r="K25" s="62">
        <v>3.0</v>
      </c>
      <c r="L25" s="210">
        <f t="shared" si="3"/>
        <v>3</v>
      </c>
      <c r="M25" s="62">
        <v>3.0</v>
      </c>
      <c r="N25" s="62">
        <v>3.0</v>
      </c>
      <c r="O25" s="63">
        <v>3.0</v>
      </c>
      <c r="P25" s="71">
        <f t="shared" si="12"/>
        <v>3</v>
      </c>
      <c r="Q25" s="62">
        <v>3.0</v>
      </c>
      <c r="R25" s="62">
        <v>3.0</v>
      </c>
      <c r="S25" s="63">
        <v>3.0</v>
      </c>
      <c r="T25" s="62">
        <v>3.0</v>
      </c>
      <c r="U25" s="211">
        <f t="shared" si="13"/>
        <v>3</v>
      </c>
      <c r="V25" s="62">
        <v>3.0</v>
      </c>
      <c r="W25" s="63">
        <v>3.0</v>
      </c>
      <c r="X25" s="62">
        <v>3.0</v>
      </c>
      <c r="Y25" s="78">
        <f t="shared" si="6"/>
        <v>3</v>
      </c>
      <c r="Z25" s="62">
        <v>3.0</v>
      </c>
      <c r="AA25" s="62">
        <v>3.0</v>
      </c>
      <c r="AB25" s="63">
        <v>3.0</v>
      </c>
      <c r="AC25" s="250">
        <v>3.0</v>
      </c>
      <c r="AD25" s="212">
        <f t="shared" si="7"/>
        <v>3</v>
      </c>
      <c r="AE25" s="213">
        <v>3.0</v>
      </c>
      <c r="AF25" s="63">
        <v>3.0</v>
      </c>
      <c r="AG25" s="63">
        <v>3.0</v>
      </c>
      <c r="AH25" s="67">
        <f t="shared" si="8"/>
        <v>3</v>
      </c>
      <c r="AI25" s="251">
        <f t="shared" si="9"/>
        <v>3</v>
      </c>
    </row>
    <row r="26" ht="15.75" customHeight="1">
      <c r="A26" s="74">
        <v>19.0</v>
      </c>
      <c r="B26" s="241" t="s">
        <v>123</v>
      </c>
      <c r="C26" s="62" t="s">
        <v>45</v>
      </c>
      <c r="D26" s="62">
        <v>4.0</v>
      </c>
      <c r="E26" s="62">
        <v>4.0</v>
      </c>
      <c r="F26" s="66">
        <f t="shared" si="14"/>
        <v>4</v>
      </c>
      <c r="G26" s="62">
        <v>4.0</v>
      </c>
      <c r="H26" s="62">
        <v>4.0</v>
      </c>
      <c r="I26" s="209">
        <f t="shared" si="2"/>
        <v>4</v>
      </c>
      <c r="J26" s="62">
        <v>4.0</v>
      </c>
      <c r="K26" s="62">
        <v>4.0</v>
      </c>
      <c r="L26" s="210">
        <f t="shared" si="3"/>
        <v>4</v>
      </c>
      <c r="M26" s="62">
        <v>3.0</v>
      </c>
      <c r="N26" s="62">
        <v>3.0</v>
      </c>
      <c r="O26" s="63">
        <v>3.0</v>
      </c>
      <c r="P26" s="71">
        <f t="shared" si="12"/>
        <v>3</v>
      </c>
      <c r="Q26" s="62">
        <v>4.0</v>
      </c>
      <c r="R26" s="62">
        <v>4.0</v>
      </c>
      <c r="S26" s="63">
        <v>4.0</v>
      </c>
      <c r="T26" s="62">
        <v>4.0</v>
      </c>
      <c r="U26" s="211">
        <f t="shared" si="13"/>
        <v>4</v>
      </c>
      <c r="V26" s="62">
        <v>4.0</v>
      </c>
      <c r="W26" s="63">
        <v>4.0</v>
      </c>
      <c r="X26" s="62">
        <v>4.0</v>
      </c>
      <c r="Y26" s="78">
        <f t="shared" si="6"/>
        <v>4</v>
      </c>
      <c r="Z26" s="62">
        <v>4.0</v>
      </c>
      <c r="AA26" s="62">
        <v>4.0</v>
      </c>
      <c r="AB26" s="63">
        <v>4.0</v>
      </c>
      <c r="AC26" s="250">
        <v>4.0</v>
      </c>
      <c r="AD26" s="212">
        <f t="shared" si="7"/>
        <v>4</v>
      </c>
      <c r="AE26" s="213">
        <v>4.0</v>
      </c>
      <c r="AF26" s="63">
        <v>4.0</v>
      </c>
      <c r="AG26" s="63">
        <v>3.0</v>
      </c>
      <c r="AH26" s="67">
        <f t="shared" si="8"/>
        <v>3.666666667</v>
      </c>
      <c r="AI26" s="251">
        <f t="shared" si="9"/>
        <v>3.766666667</v>
      </c>
    </row>
    <row r="27" ht="15.75" customHeight="1">
      <c r="A27" s="74">
        <v>20.0</v>
      </c>
      <c r="B27" s="241" t="s">
        <v>124</v>
      </c>
      <c r="C27" s="62" t="s">
        <v>45</v>
      </c>
      <c r="D27" s="62">
        <v>3.0</v>
      </c>
      <c r="E27" s="62">
        <v>3.0</v>
      </c>
      <c r="F27" s="66">
        <v>3.0</v>
      </c>
      <c r="G27" s="62">
        <v>3.0</v>
      </c>
      <c r="H27" s="62">
        <v>3.0</v>
      </c>
      <c r="I27" s="209">
        <v>3.0</v>
      </c>
      <c r="J27" s="62">
        <v>3.0</v>
      </c>
      <c r="K27" s="62">
        <v>3.0</v>
      </c>
      <c r="L27" s="210">
        <v>3.0</v>
      </c>
      <c r="M27" s="62">
        <v>3.0</v>
      </c>
      <c r="N27" s="62">
        <v>3.0</v>
      </c>
      <c r="O27" s="63">
        <v>3.0</v>
      </c>
      <c r="P27" s="71">
        <v>3.0</v>
      </c>
      <c r="Q27" s="62">
        <v>3.0</v>
      </c>
      <c r="R27" s="62">
        <v>3.0</v>
      </c>
      <c r="S27" s="63">
        <v>3.0</v>
      </c>
      <c r="T27" s="62">
        <v>3.0</v>
      </c>
      <c r="U27" s="211">
        <f t="shared" si="13"/>
        <v>3</v>
      </c>
      <c r="V27" s="62">
        <v>3.0</v>
      </c>
      <c r="W27" s="63">
        <v>3.0</v>
      </c>
      <c r="X27" s="62">
        <v>3.0</v>
      </c>
      <c r="Y27" s="78">
        <f t="shared" si="6"/>
        <v>3</v>
      </c>
      <c r="Z27" s="62">
        <v>3.0</v>
      </c>
      <c r="AA27" s="62">
        <v>3.0</v>
      </c>
      <c r="AB27" s="63">
        <v>3.0</v>
      </c>
      <c r="AC27" s="250">
        <v>3.0</v>
      </c>
      <c r="AD27" s="212">
        <f t="shared" si="7"/>
        <v>3</v>
      </c>
      <c r="AE27" s="213">
        <v>3.0</v>
      </c>
      <c r="AF27" s="63">
        <v>3.0</v>
      </c>
      <c r="AG27" s="63">
        <v>2.0</v>
      </c>
      <c r="AH27" s="67">
        <f t="shared" si="8"/>
        <v>2.666666667</v>
      </c>
      <c r="AI27" s="251">
        <f t="shared" si="9"/>
        <v>2.966666667</v>
      </c>
    </row>
    <row r="28" ht="15.75" customHeight="1">
      <c r="A28" s="74">
        <v>21.0</v>
      </c>
      <c r="B28" s="241" t="s">
        <v>125</v>
      </c>
      <c r="C28" s="62" t="s">
        <v>45</v>
      </c>
      <c r="D28" s="62">
        <v>3.0</v>
      </c>
      <c r="E28" s="62">
        <v>3.0</v>
      </c>
      <c r="F28" s="66">
        <f>SUM(D28:E28)/2</f>
        <v>3</v>
      </c>
      <c r="G28" s="62">
        <v>3.0</v>
      </c>
      <c r="H28" s="62">
        <v>3.0</v>
      </c>
      <c r="I28" s="209">
        <f t="shared" ref="I28:I35" si="15">SUM(G28:H28)/2</f>
        <v>3</v>
      </c>
      <c r="J28" s="62">
        <v>3.0</v>
      </c>
      <c r="K28" s="62">
        <v>3.0</v>
      </c>
      <c r="L28" s="210">
        <f t="shared" ref="L28:L35" si="16">SUM(J28:K28)/2</f>
        <v>3</v>
      </c>
      <c r="M28" s="62">
        <v>3.0</v>
      </c>
      <c r="N28" s="62">
        <v>3.0</v>
      </c>
      <c r="O28" s="63">
        <v>3.0</v>
      </c>
      <c r="P28" s="71">
        <f t="shared" ref="P28:P35" si="17">SUM(N28:O28)/2</f>
        <v>3</v>
      </c>
      <c r="Q28" s="62">
        <v>3.0</v>
      </c>
      <c r="R28" s="62">
        <v>3.0</v>
      </c>
      <c r="S28" s="63">
        <v>3.0</v>
      </c>
      <c r="T28" s="62">
        <v>3.0</v>
      </c>
      <c r="U28" s="211">
        <f t="shared" si="13"/>
        <v>3</v>
      </c>
      <c r="V28" s="62">
        <v>3.0</v>
      </c>
      <c r="W28" s="63">
        <v>3.0</v>
      </c>
      <c r="X28" s="62">
        <v>3.0</v>
      </c>
      <c r="Y28" s="78">
        <f t="shared" si="6"/>
        <v>3</v>
      </c>
      <c r="Z28" s="62">
        <v>3.0</v>
      </c>
      <c r="AA28" s="62">
        <v>3.0</v>
      </c>
      <c r="AB28" s="63">
        <v>3.0</v>
      </c>
      <c r="AC28" s="250">
        <v>3.0</v>
      </c>
      <c r="AD28" s="212">
        <f t="shared" si="7"/>
        <v>3</v>
      </c>
      <c r="AE28" s="213">
        <v>3.0</v>
      </c>
      <c r="AF28" s="63">
        <v>3.0</v>
      </c>
      <c r="AG28" s="63">
        <v>2.0</v>
      </c>
      <c r="AH28" s="67">
        <f t="shared" si="8"/>
        <v>2.666666667</v>
      </c>
      <c r="AI28" s="251">
        <f t="shared" si="9"/>
        <v>2.966666667</v>
      </c>
    </row>
    <row r="29" ht="15.75" customHeight="1">
      <c r="A29" s="74">
        <v>22.0</v>
      </c>
      <c r="B29" s="241" t="s">
        <v>126</v>
      </c>
      <c r="C29" s="62" t="s">
        <v>45</v>
      </c>
      <c r="D29" s="62">
        <v>3.0</v>
      </c>
      <c r="E29" s="62">
        <v>3.0</v>
      </c>
      <c r="F29" s="66">
        <v>3.0</v>
      </c>
      <c r="G29" s="62">
        <v>3.0</v>
      </c>
      <c r="H29" s="62">
        <v>3.0</v>
      </c>
      <c r="I29" s="209">
        <f t="shared" si="15"/>
        <v>3</v>
      </c>
      <c r="J29" s="62">
        <v>3.0</v>
      </c>
      <c r="K29" s="62">
        <v>3.0</v>
      </c>
      <c r="L29" s="210">
        <f t="shared" si="16"/>
        <v>3</v>
      </c>
      <c r="M29" s="62">
        <v>3.0</v>
      </c>
      <c r="N29" s="62">
        <v>3.0</v>
      </c>
      <c r="O29" s="63">
        <v>3.0</v>
      </c>
      <c r="P29" s="71">
        <f t="shared" si="17"/>
        <v>3</v>
      </c>
      <c r="Q29" s="62">
        <v>3.0</v>
      </c>
      <c r="R29" s="62">
        <v>3.0</v>
      </c>
      <c r="S29" s="63">
        <v>3.0</v>
      </c>
      <c r="T29" s="62">
        <v>3.0</v>
      </c>
      <c r="U29" s="211">
        <f t="shared" si="13"/>
        <v>3</v>
      </c>
      <c r="V29" s="62">
        <v>3.0</v>
      </c>
      <c r="W29" s="63">
        <v>3.0</v>
      </c>
      <c r="X29" s="62">
        <v>3.0</v>
      </c>
      <c r="Y29" s="78">
        <f t="shared" si="6"/>
        <v>3</v>
      </c>
      <c r="Z29" s="62">
        <v>3.0</v>
      </c>
      <c r="AA29" s="62">
        <v>3.0</v>
      </c>
      <c r="AB29" s="63">
        <v>3.0</v>
      </c>
      <c r="AC29" s="250">
        <v>3.0</v>
      </c>
      <c r="AD29" s="212">
        <f t="shared" si="7"/>
        <v>3</v>
      </c>
      <c r="AE29" s="213">
        <v>3.0</v>
      </c>
      <c r="AF29" s="63">
        <v>3.0</v>
      </c>
      <c r="AG29" s="63">
        <v>2.0</v>
      </c>
      <c r="AH29" s="67">
        <f t="shared" si="8"/>
        <v>2.666666667</v>
      </c>
      <c r="AI29" s="251">
        <f t="shared" si="9"/>
        <v>2.966666667</v>
      </c>
    </row>
    <row r="30" ht="15.75" customHeight="1">
      <c r="A30" s="74">
        <v>23.0</v>
      </c>
      <c r="B30" s="241" t="s">
        <v>127</v>
      </c>
      <c r="C30" s="62" t="s">
        <v>45</v>
      </c>
      <c r="D30" s="62">
        <v>4.0</v>
      </c>
      <c r="E30" s="62">
        <v>4.0</v>
      </c>
      <c r="F30" s="66">
        <v>4.0</v>
      </c>
      <c r="G30" s="62">
        <v>4.0</v>
      </c>
      <c r="H30" s="62">
        <v>4.0</v>
      </c>
      <c r="I30" s="209">
        <f t="shared" si="15"/>
        <v>4</v>
      </c>
      <c r="J30" s="62">
        <v>4.0</v>
      </c>
      <c r="K30" s="62">
        <v>4.0</v>
      </c>
      <c r="L30" s="210">
        <f t="shared" si="16"/>
        <v>4</v>
      </c>
      <c r="M30" s="62">
        <v>3.0</v>
      </c>
      <c r="N30" s="62">
        <v>3.0</v>
      </c>
      <c r="O30" s="63">
        <v>4.0</v>
      </c>
      <c r="P30" s="71">
        <f t="shared" si="17"/>
        <v>3.5</v>
      </c>
      <c r="Q30" s="62">
        <v>4.0</v>
      </c>
      <c r="R30" s="62">
        <v>4.0</v>
      </c>
      <c r="S30" s="63">
        <v>4.0</v>
      </c>
      <c r="T30" s="62">
        <v>4.0</v>
      </c>
      <c r="U30" s="211">
        <f t="shared" si="13"/>
        <v>4</v>
      </c>
      <c r="V30" s="62">
        <v>4.0</v>
      </c>
      <c r="W30" s="63">
        <v>4.0</v>
      </c>
      <c r="X30" s="62">
        <v>4.0</v>
      </c>
      <c r="Y30" s="78">
        <f t="shared" si="6"/>
        <v>4</v>
      </c>
      <c r="Z30" s="62">
        <v>4.0</v>
      </c>
      <c r="AA30" s="62">
        <v>4.0</v>
      </c>
      <c r="AB30" s="63">
        <v>4.0</v>
      </c>
      <c r="AC30" s="250">
        <v>4.0</v>
      </c>
      <c r="AD30" s="212">
        <f t="shared" si="7"/>
        <v>4</v>
      </c>
      <c r="AE30" s="213">
        <v>4.0</v>
      </c>
      <c r="AF30" s="63">
        <v>4.0</v>
      </c>
      <c r="AG30" s="63">
        <v>3.0</v>
      </c>
      <c r="AH30" s="67">
        <f t="shared" si="8"/>
        <v>3.666666667</v>
      </c>
      <c r="AI30" s="251">
        <f t="shared" si="9"/>
        <v>3.766666667</v>
      </c>
    </row>
    <row r="31" ht="15.75" customHeight="1">
      <c r="A31" s="74">
        <v>24.0</v>
      </c>
      <c r="B31" s="241"/>
      <c r="C31" s="62" t="s">
        <v>45</v>
      </c>
      <c r="D31" s="62"/>
      <c r="E31" s="62"/>
      <c r="F31" s="66">
        <f t="shared" ref="F31:F35" si="18">SUM(D31:E31)/2</f>
        <v>0</v>
      </c>
      <c r="G31" s="62"/>
      <c r="H31" s="62"/>
      <c r="I31" s="209">
        <f t="shared" si="15"/>
        <v>0</v>
      </c>
      <c r="J31" s="62"/>
      <c r="K31" s="62"/>
      <c r="L31" s="210">
        <f t="shared" si="16"/>
        <v>0</v>
      </c>
      <c r="M31" s="62"/>
      <c r="N31" s="62"/>
      <c r="O31" s="63"/>
      <c r="P31" s="71">
        <f t="shared" si="17"/>
        <v>0</v>
      </c>
      <c r="Q31" s="62"/>
      <c r="R31" s="62"/>
      <c r="S31" s="63"/>
      <c r="T31" s="62"/>
      <c r="U31" s="211">
        <f t="shared" si="13"/>
        <v>0</v>
      </c>
      <c r="V31" s="62"/>
      <c r="W31" s="63"/>
      <c r="X31" s="62"/>
      <c r="Y31" s="78">
        <f t="shared" si="6"/>
        <v>0</v>
      </c>
      <c r="Z31" s="62"/>
      <c r="AA31" s="62"/>
      <c r="AB31" s="63"/>
      <c r="AC31" s="250"/>
      <c r="AD31" s="212">
        <f t="shared" si="7"/>
        <v>0</v>
      </c>
      <c r="AE31" s="213"/>
      <c r="AF31" s="63"/>
      <c r="AG31" s="63"/>
      <c r="AH31" s="67">
        <f t="shared" si="8"/>
        <v>0</v>
      </c>
      <c r="AI31" s="251">
        <f t="shared" si="9"/>
        <v>0</v>
      </c>
    </row>
    <row r="32" ht="15.75" customHeight="1">
      <c r="A32" s="74">
        <v>25.0</v>
      </c>
      <c r="B32" s="241"/>
      <c r="C32" s="62" t="s">
        <v>45</v>
      </c>
      <c r="D32" s="62"/>
      <c r="E32" s="62"/>
      <c r="F32" s="66">
        <f t="shared" si="18"/>
        <v>0</v>
      </c>
      <c r="G32" s="62"/>
      <c r="H32" s="62"/>
      <c r="I32" s="209">
        <f t="shared" si="15"/>
        <v>0</v>
      </c>
      <c r="J32" s="62"/>
      <c r="K32" s="62"/>
      <c r="L32" s="210">
        <f t="shared" si="16"/>
        <v>0</v>
      </c>
      <c r="M32" s="62"/>
      <c r="N32" s="62"/>
      <c r="O32" s="63"/>
      <c r="P32" s="71">
        <f t="shared" si="17"/>
        <v>0</v>
      </c>
      <c r="Q32" s="62"/>
      <c r="R32" s="62"/>
      <c r="S32" s="63"/>
      <c r="T32" s="62"/>
      <c r="U32" s="211">
        <f t="shared" si="13"/>
        <v>0</v>
      </c>
      <c r="V32" s="62"/>
      <c r="W32" s="63"/>
      <c r="X32" s="62"/>
      <c r="Y32" s="78">
        <f t="shared" si="6"/>
        <v>0</v>
      </c>
      <c r="Z32" s="62"/>
      <c r="AA32" s="62"/>
      <c r="AB32" s="63"/>
      <c r="AC32" s="250"/>
      <c r="AD32" s="212">
        <f t="shared" si="7"/>
        <v>0</v>
      </c>
      <c r="AE32" s="213"/>
      <c r="AF32" s="63"/>
      <c r="AG32" s="63"/>
      <c r="AH32" s="67">
        <f t="shared" si="8"/>
        <v>0</v>
      </c>
      <c r="AI32" s="251">
        <f t="shared" si="9"/>
        <v>0</v>
      </c>
    </row>
    <row r="33" ht="15.75" customHeight="1">
      <c r="A33" s="74">
        <v>26.0</v>
      </c>
      <c r="B33" s="241"/>
      <c r="C33" s="62" t="s">
        <v>45</v>
      </c>
      <c r="D33" s="62"/>
      <c r="E33" s="62"/>
      <c r="F33" s="66">
        <f t="shared" si="18"/>
        <v>0</v>
      </c>
      <c r="G33" s="62"/>
      <c r="H33" s="62"/>
      <c r="I33" s="209">
        <f t="shared" si="15"/>
        <v>0</v>
      </c>
      <c r="J33" s="62"/>
      <c r="K33" s="62"/>
      <c r="L33" s="210">
        <f t="shared" si="16"/>
        <v>0</v>
      </c>
      <c r="M33" s="62"/>
      <c r="N33" s="62"/>
      <c r="O33" s="63"/>
      <c r="P33" s="71">
        <f t="shared" si="17"/>
        <v>0</v>
      </c>
      <c r="Q33" s="62"/>
      <c r="R33" s="62"/>
      <c r="S33" s="63"/>
      <c r="T33" s="62"/>
      <c r="U33" s="211">
        <f t="shared" si="13"/>
        <v>0</v>
      </c>
      <c r="V33" s="62"/>
      <c r="W33" s="63"/>
      <c r="X33" s="62"/>
      <c r="Y33" s="78">
        <f t="shared" si="6"/>
        <v>0</v>
      </c>
      <c r="Z33" s="62"/>
      <c r="AA33" s="62"/>
      <c r="AB33" s="63"/>
      <c r="AC33" s="250"/>
      <c r="AD33" s="212">
        <f t="shared" si="7"/>
        <v>0</v>
      </c>
      <c r="AE33" s="213"/>
      <c r="AF33" s="63"/>
      <c r="AG33" s="63"/>
      <c r="AH33" s="67">
        <f t="shared" si="8"/>
        <v>0</v>
      </c>
      <c r="AI33" s="251">
        <f t="shared" si="9"/>
        <v>0</v>
      </c>
    </row>
    <row r="34" ht="15.75" customHeight="1">
      <c r="A34" s="74">
        <v>27.0</v>
      </c>
      <c r="B34" s="241"/>
      <c r="C34" s="62" t="s">
        <v>44</v>
      </c>
      <c r="D34" s="62"/>
      <c r="E34" s="62"/>
      <c r="F34" s="66">
        <f t="shared" si="18"/>
        <v>0</v>
      </c>
      <c r="G34" s="62"/>
      <c r="H34" s="62"/>
      <c r="I34" s="209">
        <f t="shared" si="15"/>
        <v>0</v>
      </c>
      <c r="J34" s="62"/>
      <c r="K34" s="62"/>
      <c r="L34" s="210">
        <f t="shared" si="16"/>
        <v>0</v>
      </c>
      <c r="M34" s="62"/>
      <c r="N34" s="62"/>
      <c r="O34" s="63"/>
      <c r="P34" s="71">
        <f t="shared" si="17"/>
        <v>0</v>
      </c>
      <c r="Q34" s="62"/>
      <c r="R34" s="62"/>
      <c r="S34" s="63"/>
      <c r="T34" s="62"/>
      <c r="U34" s="211">
        <v>0.0</v>
      </c>
      <c r="V34" s="62"/>
      <c r="W34" s="63"/>
      <c r="X34" s="62"/>
      <c r="Y34" s="78">
        <f t="shared" si="6"/>
        <v>0</v>
      </c>
      <c r="Z34" s="62"/>
      <c r="AA34" s="62"/>
      <c r="AB34" s="63"/>
      <c r="AC34" s="250"/>
      <c r="AD34" s="212">
        <f t="shared" si="7"/>
        <v>0</v>
      </c>
      <c r="AE34" s="213"/>
      <c r="AF34" s="63"/>
      <c r="AG34" s="63"/>
      <c r="AH34" s="67">
        <f t="shared" si="8"/>
        <v>0</v>
      </c>
      <c r="AI34" s="251">
        <f t="shared" si="9"/>
        <v>0</v>
      </c>
    </row>
    <row r="35" ht="15.75" customHeight="1">
      <c r="A35" s="74">
        <v>28.0</v>
      </c>
      <c r="B35" s="241"/>
      <c r="C35" s="62" t="s">
        <v>44</v>
      </c>
      <c r="D35" s="62"/>
      <c r="E35" s="62"/>
      <c r="F35" s="66">
        <f t="shared" si="18"/>
        <v>0</v>
      </c>
      <c r="G35" s="62"/>
      <c r="H35" s="62"/>
      <c r="I35" s="209">
        <f t="shared" si="15"/>
        <v>0</v>
      </c>
      <c r="J35" s="62"/>
      <c r="K35" s="62"/>
      <c r="L35" s="210">
        <f t="shared" si="16"/>
        <v>0</v>
      </c>
      <c r="M35" s="62"/>
      <c r="N35" s="62"/>
      <c r="O35" s="63"/>
      <c r="P35" s="71">
        <f t="shared" si="17"/>
        <v>0</v>
      </c>
      <c r="Q35" s="62"/>
      <c r="R35" s="62"/>
      <c r="S35" s="63"/>
      <c r="T35" s="62"/>
      <c r="U35" s="211">
        <f>SUM(R35:T35)/3</f>
        <v>0</v>
      </c>
      <c r="V35" s="62"/>
      <c r="W35" s="63"/>
      <c r="X35" s="62"/>
      <c r="Y35" s="78">
        <f t="shared" si="6"/>
        <v>0</v>
      </c>
      <c r="Z35" s="62"/>
      <c r="AA35" s="62"/>
      <c r="AB35" s="63"/>
      <c r="AC35" s="250"/>
      <c r="AD35" s="212">
        <f t="shared" si="7"/>
        <v>0</v>
      </c>
      <c r="AE35" s="213"/>
      <c r="AF35" s="63"/>
      <c r="AG35" s="63"/>
      <c r="AH35" s="67">
        <f t="shared" si="8"/>
        <v>0</v>
      </c>
      <c r="AI35" s="251">
        <f t="shared" si="9"/>
        <v>0</v>
      </c>
    </row>
    <row r="36" ht="15.75" customHeight="1">
      <c r="A36" s="74">
        <v>29.0</v>
      </c>
      <c r="B36" s="241"/>
      <c r="C36" s="62"/>
      <c r="D36" s="62"/>
      <c r="E36" s="62"/>
      <c r="F36" s="66"/>
      <c r="G36" s="62"/>
      <c r="H36" s="62"/>
      <c r="I36" s="209"/>
      <c r="J36" s="62"/>
      <c r="K36" s="62"/>
      <c r="L36" s="210"/>
      <c r="M36" s="62"/>
      <c r="N36" s="62"/>
      <c r="O36" s="63"/>
      <c r="P36" s="71"/>
      <c r="Q36" s="62"/>
      <c r="R36" s="62"/>
      <c r="S36" s="63"/>
      <c r="T36" s="62"/>
      <c r="U36" s="211"/>
      <c r="V36" s="62"/>
      <c r="W36" s="63"/>
      <c r="X36" s="62"/>
      <c r="Y36" s="78"/>
      <c r="Z36" s="62"/>
      <c r="AA36" s="62"/>
      <c r="AB36" s="63"/>
      <c r="AC36" s="250"/>
      <c r="AD36" s="212"/>
      <c r="AE36" s="213"/>
      <c r="AF36" s="63"/>
      <c r="AG36" s="63"/>
      <c r="AH36" s="67"/>
      <c r="AI36" s="251"/>
    </row>
    <row r="37" ht="15.75" customHeight="1">
      <c r="A37" s="74">
        <v>30.0</v>
      </c>
      <c r="B37" s="130"/>
      <c r="C37" s="62"/>
      <c r="D37" s="62"/>
      <c r="E37" s="62"/>
      <c r="F37" s="66"/>
      <c r="G37" s="62"/>
      <c r="H37" s="62"/>
      <c r="I37" s="209"/>
      <c r="J37" s="62"/>
      <c r="K37" s="62"/>
      <c r="L37" s="210"/>
      <c r="M37" s="62"/>
      <c r="N37" s="62"/>
      <c r="O37" s="63"/>
      <c r="P37" s="71"/>
      <c r="Q37" s="62"/>
      <c r="R37" s="62"/>
      <c r="S37" s="63"/>
      <c r="T37" s="62"/>
      <c r="U37" s="211"/>
      <c r="V37" s="62"/>
      <c r="W37" s="63"/>
      <c r="X37" s="62"/>
      <c r="Y37" s="78"/>
      <c r="Z37" s="62"/>
      <c r="AA37" s="62"/>
      <c r="AB37" s="63"/>
      <c r="AC37" s="250"/>
      <c r="AD37" s="212"/>
      <c r="AE37" s="213"/>
      <c r="AF37" s="63"/>
      <c r="AG37" s="63"/>
      <c r="AH37" s="67"/>
      <c r="AI37" s="251"/>
    </row>
    <row r="38" ht="15.75" customHeight="1">
      <c r="A38" s="74">
        <v>31.0</v>
      </c>
      <c r="B38" s="130"/>
      <c r="C38" s="62"/>
      <c r="D38" s="65"/>
      <c r="E38" s="65"/>
      <c r="F38" s="66"/>
      <c r="G38" s="65"/>
      <c r="H38" s="65"/>
      <c r="I38" s="209"/>
      <c r="J38" s="75"/>
      <c r="K38" s="65"/>
      <c r="L38" s="210"/>
      <c r="M38" s="65"/>
      <c r="N38" s="65"/>
      <c r="O38" s="65"/>
      <c r="P38" s="71"/>
      <c r="Q38" s="65"/>
      <c r="R38" s="65"/>
      <c r="S38" s="65"/>
      <c r="T38" s="65"/>
      <c r="U38" s="211"/>
      <c r="V38" s="65"/>
      <c r="W38" s="65"/>
      <c r="X38" s="65"/>
      <c r="Y38" s="78"/>
      <c r="Z38" s="65"/>
      <c r="AA38" s="65"/>
      <c r="AB38" s="65"/>
      <c r="AC38" s="65"/>
      <c r="AD38" s="212"/>
      <c r="AE38" s="65"/>
      <c r="AF38" s="65"/>
      <c r="AG38" s="65"/>
      <c r="AH38" s="67"/>
      <c r="AI38" s="251"/>
    </row>
    <row r="39" ht="15.75" customHeight="1">
      <c r="A39" s="74">
        <v>32.0</v>
      </c>
      <c r="B39" s="130"/>
      <c r="C39" s="75"/>
      <c r="D39" s="65"/>
      <c r="E39" s="65"/>
      <c r="F39" s="66"/>
      <c r="G39" s="65"/>
      <c r="H39" s="65"/>
      <c r="I39" s="209"/>
      <c r="J39" s="75"/>
      <c r="K39" s="65"/>
      <c r="L39" s="210"/>
      <c r="M39" s="65"/>
      <c r="N39" s="65"/>
      <c r="O39" s="65"/>
      <c r="P39" s="71"/>
      <c r="Q39" s="65"/>
      <c r="R39" s="65"/>
      <c r="S39" s="65"/>
      <c r="T39" s="65"/>
      <c r="U39" s="211"/>
      <c r="V39" s="65"/>
      <c r="W39" s="65"/>
      <c r="X39" s="65"/>
      <c r="Y39" s="78"/>
      <c r="Z39" s="65"/>
      <c r="AA39" s="65"/>
      <c r="AB39" s="65"/>
      <c r="AC39" s="65"/>
      <c r="AD39" s="212"/>
      <c r="AE39" s="65"/>
      <c r="AF39" s="65"/>
      <c r="AG39" s="65"/>
      <c r="AH39" s="67"/>
      <c r="AI39" s="251"/>
    </row>
    <row r="40" ht="15.75" customHeight="1">
      <c r="A40" s="74">
        <v>33.0</v>
      </c>
      <c r="B40" s="130"/>
      <c r="C40" s="75"/>
      <c r="D40" s="65"/>
      <c r="E40" s="65"/>
      <c r="F40" s="66"/>
      <c r="G40" s="65"/>
      <c r="H40" s="65"/>
      <c r="I40" s="209"/>
      <c r="J40" s="75"/>
      <c r="K40" s="65"/>
      <c r="L40" s="210"/>
      <c r="M40" s="65"/>
      <c r="N40" s="65"/>
      <c r="O40" s="65"/>
      <c r="P40" s="71"/>
      <c r="Q40" s="65"/>
      <c r="R40" s="65"/>
      <c r="S40" s="65"/>
      <c r="T40" s="65"/>
      <c r="U40" s="211"/>
      <c r="V40" s="65"/>
      <c r="W40" s="65"/>
      <c r="X40" s="65"/>
      <c r="Y40" s="78"/>
      <c r="Z40" s="65"/>
      <c r="AA40" s="65"/>
      <c r="AB40" s="65"/>
      <c r="AC40" s="65"/>
      <c r="AD40" s="212"/>
      <c r="AE40" s="65"/>
      <c r="AF40" s="65"/>
      <c r="AG40" s="65"/>
      <c r="AH40" s="67"/>
      <c r="AI40" s="251"/>
    </row>
    <row r="41" ht="15.75" customHeight="1">
      <c r="A41" s="74">
        <v>34.0</v>
      </c>
      <c r="B41" s="130"/>
      <c r="C41" s="75"/>
      <c r="D41" s="65"/>
      <c r="E41" s="65"/>
      <c r="F41" s="66"/>
      <c r="G41" s="65"/>
      <c r="H41" s="65"/>
      <c r="I41" s="209"/>
      <c r="J41" s="75"/>
      <c r="K41" s="65"/>
      <c r="L41" s="210"/>
      <c r="M41" s="65"/>
      <c r="N41" s="65"/>
      <c r="O41" s="65"/>
      <c r="P41" s="71"/>
      <c r="Q41" s="65"/>
      <c r="R41" s="65"/>
      <c r="S41" s="65"/>
      <c r="T41" s="65"/>
      <c r="U41" s="211"/>
      <c r="V41" s="65"/>
      <c r="W41" s="65"/>
      <c r="X41" s="65"/>
      <c r="Y41" s="78"/>
      <c r="Z41" s="65"/>
      <c r="AA41" s="65"/>
      <c r="AB41" s="65"/>
      <c r="AC41" s="65"/>
      <c r="AD41" s="212"/>
      <c r="AE41" s="65"/>
      <c r="AF41" s="65"/>
      <c r="AG41" s="65"/>
      <c r="AH41" s="67"/>
      <c r="AI41" s="251"/>
    </row>
    <row r="42" ht="15.75" customHeight="1">
      <c r="A42" s="74">
        <v>35.0</v>
      </c>
      <c r="B42" s="130"/>
      <c r="C42" s="75"/>
      <c r="D42" s="65"/>
      <c r="E42" s="65"/>
      <c r="F42" s="66"/>
      <c r="G42" s="65"/>
      <c r="H42" s="65"/>
      <c r="I42" s="209"/>
      <c r="J42" s="75"/>
      <c r="K42" s="65"/>
      <c r="L42" s="210"/>
      <c r="M42" s="65"/>
      <c r="N42" s="65"/>
      <c r="O42" s="65"/>
      <c r="P42" s="71"/>
      <c r="Q42" s="65"/>
      <c r="R42" s="65"/>
      <c r="S42" s="65"/>
      <c r="T42" s="65"/>
      <c r="U42" s="211"/>
      <c r="V42" s="65"/>
      <c r="W42" s="65"/>
      <c r="X42" s="65"/>
      <c r="Y42" s="78"/>
      <c r="Z42" s="65"/>
      <c r="AA42" s="65"/>
      <c r="AB42" s="65"/>
      <c r="AC42" s="65"/>
      <c r="AD42" s="212"/>
      <c r="AE42" s="65"/>
      <c r="AF42" s="65"/>
      <c r="AG42" s="65"/>
      <c r="AH42" s="67"/>
      <c r="AI42" s="251"/>
    </row>
    <row r="43" ht="15.75" customHeight="1">
      <c r="A43" s="74">
        <v>36.0</v>
      </c>
      <c r="B43" s="130"/>
      <c r="C43" s="75"/>
      <c r="D43" s="65"/>
      <c r="E43" s="65"/>
      <c r="F43" s="66"/>
      <c r="G43" s="65"/>
      <c r="H43" s="65"/>
      <c r="I43" s="209"/>
      <c r="J43" s="75"/>
      <c r="K43" s="65"/>
      <c r="L43" s="210"/>
      <c r="M43" s="65"/>
      <c r="N43" s="65"/>
      <c r="O43" s="65"/>
      <c r="P43" s="71"/>
      <c r="Q43" s="65"/>
      <c r="R43" s="65"/>
      <c r="S43" s="65"/>
      <c r="T43" s="65"/>
      <c r="U43" s="211"/>
      <c r="V43" s="65"/>
      <c r="W43" s="65"/>
      <c r="X43" s="65"/>
      <c r="Y43" s="78"/>
      <c r="Z43" s="65"/>
      <c r="AA43" s="65"/>
      <c r="AB43" s="65"/>
      <c r="AC43" s="65"/>
      <c r="AD43" s="212"/>
      <c r="AE43" s="65"/>
      <c r="AF43" s="65"/>
      <c r="AG43" s="65"/>
      <c r="AH43" s="67"/>
      <c r="AI43" s="251"/>
    </row>
    <row r="44" ht="15.75" customHeight="1">
      <c r="A44" s="84">
        <v>37.0</v>
      </c>
      <c r="B44" s="130"/>
      <c r="C44" s="133"/>
      <c r="D44" s="253"/>
      <c r="E44" s="253"/>
      <c r="F44" s="134"/>
      <c r="G44" s="253"/>
      <c r="H44" s="253"/>
      <c r="I44" s="254"/>
      <c r="J44" s="133"/>
      <c r="K44" s="253"/>
      <c r="L44" s="255"/>
      <c r="M44" s="253"/>
      <c r="N44" s="253"/>
      <c r="O44" s="253"/>
      <c r="P44" s="139"/>
      <c r="Q44" s="253"/>
      <c r="R44" s="253"/>
      <c r="S44" s="253"/>
      <c r="T44" s="253"/>
      <c r="U44" s="256"/>
      <c r="V44" s="253"/>
      <c r="W44" s="253"/>
      <c r="X44" s="253"/>
      <c r="Y44" s="140"/>
      <c r="Z44" s="253"/>
      <c r="AA44" s="253"/>
      <c r="AB44" s="253"/>
      <c r="AC44" s="253"/>
      <c r="AD44" s="257"/>
      <c r="AE44" s="253"/>
      <c r="AF44" s="253"/>
      <c r="AG44" s="253"/>
      <c r="AH44" s="135"/>
      <c r="AI44" s="258"/>
    </row>
    <row r="45" ht="15.75" customHeight="1">
      <c r="A45" s="259">
        <v>38.0</v>
      </c>
      <c r="B45" s="130"/>
      <c r="C45" s="87"/>
      <c r="D45" s="88"/>
      <c r="E45" s="88"/>
      <c r="F45" s="134"/>
      <c r="G45" s="88"/>
      <c r="H45" s="88"/>
      <c r="I45" s="254"/>
      <c r="J45" s="87"/>
      <c r="K45" s="88"/>
      <c r="L45" s="255"/>
      <c r="M45" s="88"/>
      <c r="N45" s="88"/>
      <c r="O45" s="88"/>
      <c r="P45" s="139"/>
      <c r="Q45" s="88"/>
      <c r="R45" s="88"/>
      <c r="S45" s="88"/>
      <c r="T45" s="88"/>
      <c r="U45" s="256"/>
      <c r="V45" s="88"/>
      <c r="W45" s="88"/>
      <c r="X45" s="88"/>
      <c r="Y45" s="140"/>
      <c r="Z45" s="88"/>
      <c r="AA45" s="88"/>
      <c r="AB45" s="88"/>
      <c r="AC45" s="88"/>
      <c r="AD45" s="257"/>
      <c r="AE45" s="88"/>
      <c r="AF45" s="88"/>
      <c r="AG45" s="88"/>
      <c r="AH45" s="135"/>
      <c r="AI45" s="258"/>
    </row>
    <row r="46" ht="15.75" customHeight="1">
      <c r="A46" s="259">
        <v>39.0</v>
      </c>
      <c r="B46" s="130"/>
      <c r="C46" s="87"/>
      <c r="D46" s="88"/>
      <c r="E46" s="88"/>
      <c r="F46" s="134"/>
      <c r="G46" s="88"/>
      <c r="H46" s="88"/>
      <c r="I46" s="254"/>
      <c r="J46" s="87"/>
      <c r="K46" s="88"/>
      <c r="L46" s="255"/>
      <c r="M46" s="88"/>
      <c r="N46" s="88"/>
      <c r="O46" s="88"/>
      <c r="P46" s="139"/>
      <c r="Q46" s="88"/>
      <c r="R46" s="88"/>
      <c r="S46" s="88"/>
      <c r="T46" s="88"/>
      <c r="U46" s="256"/>
      <c r="V46" s="88"/>
      <c r="W46" s="88"/>
      <c r="X46" s="88"/>
      <c r="Y46" s="140"/>
      <c r="Z46" s="88"/>
      <c r="AA46" s="88"/>
      <c r="AB46" s="88"/>
      <c r="AC46" s="88"/>
      <c r="AD46" s="257"/>
      <c r="AE46" s="88"/>
      <c r="AF46" s="88"/>
      <c r="AG46" s="88"/>
      <c r="AH46" s="135"/>
      <c r="AI46" s="258"/>
    </row>
    <row r="47" ht="15.75" customHeight="1">
      <c r="A47" s="259">
        <v>40.0</v>
      </c>
      <c r="B47" s="130"/>
      <c r="C47" s="87"/>
      <c r="D47" s="88"/>
      <c r="E47" s="88"/>
      <c r="F47" s="134"/>
      <c r="G47" s="88"/>
      <c r="H47" s="88"/>
      <c r="I47" s="254"/>
      <c r="J47" s="87"/>
      <c r="K47" s="88"/>
      <c r="L47" s="255"/>
      <c r="M47" s="88"/>
      <c r="N47" s="88"/>
      <c r="O47" s="88"/>
      <c r="P47" s="139"/>
      <c r="Q47" s="88"/>
      <c r="R47" s="88"/>
      <c r="S47" s="88"/>
      <c r="T47" s="88"/>
      <c r="U47" s="256"/>
      <c r="V47" s="88"/>
      <c r="W47" s="88"/>
      <c r="X47" s="88"/>
      <c r="Y47" s="140"/>
      <c r="Z47" s="88"/>
      <c r="AA47" s="88"/>
      <c r="AB47" s="88"/>
      <c r="AC47" s="88"/>
      <c r="AD47" s="257"/>
      <c r="AE47" s="88"/>
      <c r="AF47" s="88"/>
      <c r="AG47" s="88"/>
      <c r="AH47" s="135"/>
      <c r="AI47" s="258"/>
    </row>
    <row r="48" ht="15.75" customHeight="1">
      <c r="A48" s="259">
        <v>41.0</v>
      </c>
      <c r="B48" s="130"/>
      <c r="C48" s="87"/>
      <c r="D48" s="88"/>
      <c r="E48" s="88"/>
      <c r="F48" s="134"/>
      <c r="G48" s="88"/>
      <c r="H48" s="88"/>
      <c r="I48" s="254"/>
      <c r="J48" s="87"/>
      <c r="K48" s="88"/>
      <c r="L48" s="255"/>
      <c r="M48" s="88"/>
      <c r="N48" s="88"/>
      <c r="O48" s="88"/>
      <c r="P48" s="139"/>
      <c r="Q48" s="88"/>
      <c r="R48" s="88"/>
      <c r="S48" s="88"/>
      <c r="T48" s="88"/>
      <c r="U48" s="256"/>
      <c r="V48" s="88"/>
      <c r="W48" s="88"/>
      <c r="X48" s="88"/>
      <c r="Y48" s="140"/>
      <c r="Z48" s="88"/>
      <c r="AA48" s="88"/>
      <c r="AB48" s="88"/>
      <c r="AC48" s="88"/>
      <c r="AD48" s="257"/>
      <c r="AE48" s="88"/>
      <c r="AF48" s="88"/>
      <c r="AG48" s="88"/>
      <c r="AH48" s="135"/>
      <c r="AI48" s="25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>
      <c r="B55" s="260"/>
    </row>
    <row r="56" ht="15.75" customHeight="1">
      <c r="B56" s="260"/>
    </row>
    <row r="57" ht="15.75" customHeight="1">
      <c r="B57" s="260"/>
    </row>
    <row r="58" ht="15.75" customHeight="1">
      <c r="B58" s="260"/>
    </row>
    <row r="59" ht="15.75" customHeight="1">
      <c r="B59" s="260"/>
    </row>
    <row r="60" ht="15.75" customHeight="1">
      <c r="B60" s="260"/>
    </row>
    <row r="61" ht="15.75" customHeight="1">
      <c r="B61" s="260"/>
    </row>
    <row r="62" ht="15.75" customHeight="1">
      <c r="B62" s="260"/>
    </row>
    <row r="63" ht="15.75" customHeight="1">
      <c r="B63" s="260"/>
    </row>
    <row r="64" ht="15.75" customHeight="1">
      <c r="B64" s="260"/>
    </row>
    <row r="65" ht="15.75" customHeight="1">
      <c r="B65" s="260"/>
    </row>
    <row r="66" ht="15.75" customHeight="1">
      <c r="B66" s="260"/>
    </row>
    <row r="67" ht="15.75" customHeight="1">
      <c r="B67" s="260"/>
    </row>
    <row r="68" ht="15.75" customHeight="1">
      <c r="B68" s="260"/>
    </row>
    <row r="69" ht="15.75" customHeight="1">
      <c r="B69" s="260"/>
    </row>
    <row r="70" ht="15.75" customHeight="1">
      <c r="B70" s="260"/>
    </row>
    <row r="71" ht="15.75" customHeight="1">
      <c r="B71" s="260"/>
    </row>
    <row r="72" ht="15.75" customHeight="1">
      <c r="B72" s="260"/>
    </row>
    <row r="73" ht="15.75" customHeight="1">
      <c r="B73" s="260"/>
    </row>
    <row r="74" ht="15.75" customHeight="1">
      <c r="B74" s="260"/>
    </row>
    <row r="75" ht="15.75" customHeight="1">
      <c r="B75" s="260"/>
    </row>
    <row r="76" ht="15.75" customHeight="1">
      <c r="B76" s="260"/>
    </row>
    <row r="77" ht="15.75" customHeight="1">
      <c r="B77" s="260"/>
    </row>
    <row r="78" ht="15.75" customHeight="1">
      <c r="B78" s="260"/>
    </row>
    <row r="79" ht="15.75" customHeight="1">
      <c r="B79" s="260"/>
    </row>
    <row r="80" ht="15.75" customHeight="1">
      <c r="B80" s="260"/>
    </row>
    <row r="81" ht="15.75" customHeight="1">
      <c r="B81" s="260"/>
    </row>
    <row r="82" ht="15.75" customHeight="1">
      <c r="B82" s="260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8">
    <mergeCell ref="B6:B7"/>
    <mergeCell ref="C6:C7"/>
    <mergeCell ref="D6:F6"/>
    <mergeCell ref="G6:I6"/>
    <mergeCell ref="J6:L6"/>
    <mergeCell ref="M6:P6"/>
    <mergeCell ref="Q6:U6"/>
    <mergeCell ref="V6:Y6"/>
    <mergeCell ref="Z6:AD6"/>
    <mergeCell ref="AE6:AH6"/>
    <mergeCell ref="A1:AI1"/>
    <mergeCell ref="C3:P3"/>
    <mergeCell ref="Q3:U3"/>
    <mergeCell ref="V3:AE3"/>
    <mergeCell ref="C4:P4"/>
    <mergeCell ref="V4:AE4"/>
    <mergeCell ref="A6:A7"/>
    <mergeCell ref="AI6:AI7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39.67"/>
    <col customWidth="1" min="3" max="3" width="5.44"/>
    <col customWidth="1" min="4" max="4" width="5.11"/>
    <col customWidth="1" min="5" max="5" width="4.78"/>
    <col customWidth="1" min="6" max="6" width="5.44"/>
    <col customWidth="1" min="7" max="7" width="4.44"/>
    <col customWidth="1" min="8" max="9" width="5.0"/>
    <col customWidth="1" min="10" max="10" width="5.11"/>
    <col customWidth="1" min="11" max="11" width="4.67"/>
    <col customWidth="1" min="12" max="14" width="4.78"/>
    <col customWidth="1" min="15" max="15" width="4.67"/>
    <col customWidth="1" min="16" max="16" width="4.78"/>
    <col customWidth="1" min="17" max="18" width="5.11"/>
    <col customWidth="1" min="19" max="19" width="4.78"/>
    <col customWidth="1" min="20" max="21" width="4.67"/>
    <col customWidth="1" min="22" max="23" width="4.33"/>
    <col customWidth="1" min="24" max="24" width="5.0"/>
    <col customWidth="1" min="25" max="25" width="4.67"/>
    <col customWidth="1" min="26" max="26" width="4.78"/>
    <col customWidth="1" min="27" max="27" width="4.67"/>
    <col customWidth="1" min="28" max="28" width="4.44"/>
    <col customWidth="1" min="29" max="30" width="4.78"/>
    <col customWidth="1" min="31" max="31" width="4.67"/>
    <col customWidth="1" min="32" max="32" width="4.78"/>
    <col customWidth="1" min="33" max="33" width="6.67"/>
  </cols>
  <sheetData>
    <row r="1" ht="24.0" customHeight="1">
      <c r="A1" s="173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ht="15.75" customHeight="1">
      <c r="A2" s="261"/>
      <c r="B2" s="262"/>
      <c r="C2" s="263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4"/>
      <c r="O2" s="264"/>
      <c r="AG2" s="7"/>
    </row>
    <row r="3" ht="24.0" customHeight="1">
      <c r="A3" s="261"/>
      <c r="B3" s="9" t="s">
        <v>1</v>
      </c>
      <c r="C3" s="10" t="s">
        <v>2</v>
      </c>
      <c r="Q3" s="9" t="s">
        <v>3</v>
      </c>
      <c r="V3" s="11" t="s">
        <v>129</v>
      </c>
      <c r="AG3" s="7"/>
    </row>
    <row r="4" ht="23.25" customHeight="1">
      <c r="A4" s="265"/>
      <c r="B4" s="13" t="s">
        <v>5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7</v>
      </c>
      <c r="R4" s="13"/>
      <c r="S4" s="13"/>
      <c r="T4" s="13"/>
      <c r="U4" s="13"/>
      <c r="V4" s="174" t="s">
        <v>130</v>
      </c>
      <c r="W4" s="15"/>
      <c r="X4" s="15"/>
      <c r="Y4" s="15"/>
      <c r="Z4" s="15"/>
      <c r="AA4" s="15"/>
      <c r="AB4" s="15"/>
      <c r="AC4" s="15"/>
      <c r="AD4" s="15"/>
      <c r="AE4" s="15"/>
      <c r="AF4" s="17"/>
      <c r="AG4" s="266"/>
    </row>
    <row r="5" ht="15.75" customHeight="1">
      <c r="A5" s="19"/>
      <c r="B5" s="19"/>
      <c r="C5" s="267"/>
    </row>
    <row r="6" ht="15.75" customHeight="1">
      <c r="A6" s="176" t="s">
        <v>9</v>
      </c>
      <c r="B6" s="177" t="s">
        <v>10</v>
      </c>
      <c r="C6" s="178" t="s">
        <v>11</v>
      </c>
      <c r="D6" s="22" t="s">
        <v>12</v>
      </c>
      <c r="E6" s="23"/>
      <c r="F6" s="24"/>
      <c r="G6" s="179" t="s">
        <v>53</v>
      </c>
      <c r="H6" s="23"/>
      <c r="I6" s="24"/>
      <c r="J6" s="268" t="s">
        <v>131</v>
      </c>
      <c r="K6" s="269" t="s">
        <v>132</v>
      </c>
      <c r="L6" s="270" t="s">
        <v>133</v>
      </c>
      <c r="M6" s="271" t="s">
        <v>55</v>
      </c>
      <c r="N6" s="23"/>
      <c r="O6" s="24"/>
      <c r="P6" s="272" t="s">
        <v>15</v>
      </c>
      <c r="Q6" s="23"/>
      <c r="R6" s="23"/>
      <c r="S6" s="24"/>
      <c r="T6" s="181" t="s">
        <v>16</v>
      </c>
      <c r="U6" s="23"/>
      <c r="V6" s="23"/>
      <c r="W6" s="24"/>
      <c r="X6" s="273" t="s">
        <v>17</v>
      </c>
      <c r="Y6" s="23"/>
      <c r="Z6" s="23"/>
      <c r="AA6" s="23"/>
      <c r="AB6" s="23"/>
      <c r="AC6" s="274" t="s">
        <v>18</v>
      </c>
      <c r="AD6" s="23"/>
      <c r="AE6" s="23"/>
      <c r="AF6" s="24"/>
      <c r="AG6" s="275" t="s">
        <v>19</v>
      </c>
    </row>
    <row r="7" ht="49.5" customHeight="1">
      <c r="A7" s="188"/>
      <c r="B7" s="189"/>
      <c r="C7" s="190"/>
      <c r="D7" s="217" t="s">
        <v>134</v>
      </c>
      <c r="E7" s="218" t="s">
        <v>135</v>
      </c>
      <c r="F7" s="219" t="s">
        <v>20</v>
      </c>
      <c r="G7" s="220" t="s">
        <v>134</v>
      </c>
      <c r="H7" s="221" t="s">
        <v>135</v>
      </c>
      <c r="I7" s="276" t="s">
        <v>20</v>
      </c>
      <c r="J7" s="223" t="s">
        <v>136</v>
      </c>
      <c r="K7" s="277" t="s">
        <v>54</v>
      </c>
      <c r="L7" s="278" t="s">
        <v>137</v>
      </c>
      <c r="M7" s="279" t="s">
        <v>138</v>
      </c>
      <c r="N7" s="280" t="s">
        <v>139</v>
      </c>
      <c r="O7" s="281" t="s">
        <v>20</v>
      </c>
      <c r="P7" s="282" t="s">
        <v>140</v>
      </c>
      <c r="Q7" s="283" t="s">
        <v>141</v>
      </c>
      <c r="R7" s="284" t="s">
        <v>142</v>
      </c>
      <c r="S7" s="284" t="s">
        <v>20</v>
      </c>
      <c r="T7" s="229" t="s">
        <v>143</v>
      </c>
      <c r="U7" s="230" t="s">
        <v>144</v>
      </c>
      <c r="V7" s="230" t="s">
        <v>145</v>
      </c>
      <c r="W7" s="285" t="s">
        <v>20</v>
      </c>
      <c r="X7" s="286" t="s">
        <v>146</v>
      </c>
      <c r="Y7" s="287" t="s">
        <v>147</v>
      </c>
      <c r="Z7" s="287" t="s">
        <v>148</v>
      </c>
      <c r="AA7" s="288" t="s">
        <v>149</v>
      </c>
      <c r="AB7" s="289" t="s">
        <v>20</v>
      </c>
      <c r="AC7" s="290" t="s">
        <v>150</v>
      </c>
      <c r="AD7" s="291" t="s">
        <v>151</v>
      </c>
      <c r="AE7" s="291" t="s">
        <v>152</v>
      </c>
      <c r="AF7" s="292" t="s">
        <v>20</v>
      </c>
      <c r="AG7" s="207"/>
    </row>
    <row r="8" ht="15.75" customHeight="1">
      <c r="A8" s="293">
        <v>1.0</v>
      </c>
      <c r="B8" s="294" t="s">
        <v>153</v>
      </c>
      <c r="C8" s="295" t="s">
        <v>45</v>
      </c>
      <c r="D8" s="119">
        <v>5.0</v>
      </c>
      <c r="E8" s="119">
        <v>5.0</v>
      </c>
      <c r="F8" s="296">
        <f t="shared" ref="F8:F47" si="1">SUM(D8:E8)/2</f>
        <v>5</v>
      </c>
      <c r="G8" s="119">
        <v>5.0</v>
      </c>
      <c r="H8" s="119">
        <v>5.0</v>
      </c>
      <c r="I8" s="297">
        <f t="shared" ref="I8:I47" si="2">SUM(G8:H8)/2</f>
        <v>5</v>
      </c>
      <c r="J8" s="119">
        <v>5.0</v>
      </c>
      <c r="K8" s="119">
        <v>4.0</v>
      </c>
      <c r="L8" s="119">
        <v>5.0</v>
      </c>
      <c r="M8" s="119">
        <v>5.0</v>
      </c>
      <c r="N8" s="119">
        <v>4.0</v>
      </c>
      <c r="O8" s="298">
        <f t="shared" ref="O8:O47" si="3">SUM(M8:N8)/2</f>
        <v>4.5</v>
      </c>
      <c r="P8" s="119">
        <v>5.0</v>
      </c>
      <c r="Q8" s="119">
        <v>5.0</v>
      </c>
      <c r="R8" s="119">
        <v>3.0</v>
      </c>
      <c r="S8" s="299">
        <f t="shared" ref="S8:S47" si="4">SUM(P8:R8)/3</f>
        <v>4.333333333</v>
      </c>
      <c r="T8" s="119">
        <v>5.0</v>
      </c>
      <c r="U8" s="119">
        <v>5.0</v>
      </c>
      <c r="V8" s="119">
        <v>5.0</v>
      </c>
      <c r="W8" s="300">
        <f t="shared" ref="W8:W47" si="5">SUM(T8:V8)/3</f>
        <v>5</v>
      </c>
      <c r="X8" s="119">
        <v>5.0</v>
      </c>
      <c r="Y8" s="119">
        <v>5.0</v>
      </c>
      <c r="Z8" s="119">
        <v>6.0</v>
      </c>
      <c r="AA8" s="119">
        <v>5.0</v>
      </c>
      <c r="AB8" s="301">
        <f t="shared" ref="AB8:AB47" si="6">SUM(X8:AA8)/4</f>
        <v>5.25</v>
      </c>
      <c r="AC8" s="119">
        <v>5.0</v>
      </c>
      <c r="AD8" s="119">
        <v>5.0</v>
      </c>
      <c r="AE8" s="302">
        <v>3.0</v>
      </c>
      <c r="AF8" s="303">
        <f t="shared" ref="AF8:AF47" si="7">SUM(AC8:AE8)/3</f>
        <v>4.333333333</v>
      </c>
      <c r="AG8" s="121">
        <f t="shared" ref="AG8:AG47" si="8">SUM(AF8,AB8,W8,S8,O8,L8,K8,J8,I8,F8)/10</f>
        <v>4.741666667</v>
      </c>
    </row>
    <row r="9" ht="15.75" customHeight="1">
      <c r="A9" s="142">
        <v>2.0</v>
      </c>
      <c r="B9" s="304" t="s">
        <v>154</v>
      </c>
      <c r="C9" s="65" t="s">
        <v>45</v>
      </c>
      <c r="D9" s="119">
        <v>3.0</v>
      </c>
      <c r="E9" s="119">
        <v>3.0</v>
      </c>
      <c r="F9" s="305">
        <f t="shared" si="1"/>
        <v>3</v>
      </c>
      <c r="G9" s="119">
        <v>3.0</v>
      </c>
      <c r="H9" s="119">
        <v>3.0</v>
      </c>
      <c r="I9" s="209">
        <f t="shared" si="2"/>
        <v>3</v>
      </c>
      <c r="J9" s="119">
        <v>3.0</v>
      </c>
      <c r="K9" s="62">
        <v>4.0</v>
      </c>
      <c r="L9" s="119">
        <v>3.0</v>
      </c>
      <c r="M9" s="119">
        <v>3.0</v>
      </c>
      <c r="N9" s="62">
        <v>4.0</v>
      </c>
      <c r="O9" s="306">
        <f t="shared" si="3"/>
        <v>3.5</v>
      </c>
      <c r="P9" s="119">
        <v>3.0</v>
      </c>
      <c r="Q9" s="119">
        <v>3.0</v>
      </c>
      <c r="R9" s="62">
        <v>3.0</v>
      </c>
      <c r="S9" s="307">
        <f t="shared" si="4"/>
        <v>3</v>
      </c>
      <c r="T9" s="119">
        <v>3.0</v>
      </c>
      <c r="U9" s="119">
        <v>3.0</v>
      </c>
      <c r="V9" s="62">
        <v>5.0</v>
      </c>
      <c r="W9" s="308">
        <f t="shared" si="5"/>
        <v>3.666666667</v>
      </c>
      <c r="X9" s="119">
        <v>3.0</v>
      </c>
      <c r="Y9" s="119">
        <v>3.0</v>
      </c>
      <c r="Z9" s="62">
        <v>6.0</v>
      </c>
      <c r="AA9" s="62">
        <v>5.0</v>
      </c>
      <c r="AB9" s="212">
        <f t="shared" si="6"/>
        <v>4.25</v>
      </c>
      <c r="AC9" s="119">
        <v>3.0</v>
      </c>
      <c r="AD9" s="119">
        <v>3.0</v>
      </c>
      <c r="AE9" s="302">
        <v>3.0</v>
      </c>
      <c r="AF9" s="309">
        <f t="shared" si="7"/>
        <v>3</v>
      </c>
      <c r="AG9" s="63">
        <f t="shared" si="8"/>
        <v>3.341666667</v>
      </c>
    </row>
    <row r="10" ht="15.75" customHeight="1">
      <c r="A10" s="142">
        <v>3.0</v>
      </c>
      <c r="B10" s="304" t="s">
        <v>155</v>
      </c>
      <c r="C10" s="65" t="s">
        <v>44</v>
      </c>
      <c r="D10" s="119">
        <v>5.0</v>
      </c>
      <c r="E10" s="119">
        <v>5.0</v>
      </c>
      <c r="F10" s="305">
        <f t="shared" si="1"/>
        <v>5</v>
      </c>
      <c r="G10" s="119">
        <v>5.0</v>
      </c>
      <c r="H10" s="119">
        <v>5.0</v>
      </c>
      <c r="I10" s="209">
        <f t="shared" si="2"/>
        <v>5</v>
      </c>
      <c r="J10" s="119">
        <v>5.0</v>
      </c>
      <c r="K10" s="119">
        <v>4.0</v>
      </c>
      <c r="L10" s="119">
        <v>5.0</v>
      </c>
      <c r="M10" s="119">
        <v>5.0</v>
      </c>
      <c r="N10" s="62">
        <v>4.0</v>
      </c>
      <c r="O10" s="306">
        <f t="shared" si="3"/>
        <v>4.5</v>
      </c>
      <c r="P10" s="119">
        <v>5.0</v>
      </c>
      <c r="Q10" s="119">
        <v>5.0</v>
      </c>
      <c r="R10" s="62">
        <v>3.0</v>
      </c>
      <c r="S10" s="307">
        <f t="shared" si="4"/>
        <v>4.333333333</v>
      </c>
      <c r="T10" s="119">
        <v>5.0</v>
      </c>
      <c r="U10" s="119">
        <v>5.0</v>
      </c>
      <c r="V10" s="62">
        <v>5.0</v>
      </c>
      <c r="W10" s="308">
        <f t="shared" si="5"/>
        <v>5</v>
      </c>
      <c r="X10" s="119">
        <v>5.0</v>
      </c>
      <c r="Y10" s="119">
        <v>5.0</v>
      </c>
      <c r="Z10" s="62">
        <v>6.0</v>
      </c>
      <c r="AA10" s="62">
        <v>5.0</v>
      </c>
      <c r="AB10" s="212">
        <f t="shared" si="6"/>
        <v>5.25</v>
      </c>
      <c r="AC10" s="119">
        <v>5.0</v>
      </c>
      <c r="AD10" s="119">
        <v>5.0</v>
      </c>
      <c r="AE10" s="302">
        <v>3.0</v>
      </c>
      <c r="AF10" s="309">
        <f t="shared" si="7"/>
        <v>4.333333333</v>
      </c>
      <c r="AG10" s="63">
        <f t="shared" si="8"/>
        <v>4.741666667</v>
      </c>
    </row>
    <row r="11" ht="15.75" customHeight="1">
      <c r="A11" s="293">
        <v>4.0</v>
      </c>
      <c r="B11" s="304" t="s">
        <v>156</v>
      </c>
      <c r="C11" s="65" t="s">
        <v>45</v>
      </c>
      <c r="D11" s="119">
        <v>5.0</v>
      </c>
      <c r="E11" s="119">
        <v>5.0</v>
      </c>
      <c r="F11" s="305">
        <f t="shared" si="1"/>
        <v>5</v>
      </c>
      <c r="G11" s="119">
        <v>5.0</v>
      </c>
      <c r="H11" s="119">
        <v>5.0</v>
      </c>
      <c r="I11" s="209">
        <f t="shared" si="2"/>
        <v>5</v>
      </c>
      <c r="J11" s="119">
        <v>5.0</v>
      </c>
      <c r="K11" s="62">
        <v>4.0</v>
      </c>
      <c r="L11" s="119">
        <v>5.0</v>
      </c>
      <c r="M11" s="119">
        <v>5.0</v>
      </c>
      <c r="N11" s="62">
        <v>4.0</v>
      </c>
      <c r="O11" s="306">
        <f t="shared" si="3"/>
        <v>4.5</v>
      </c>
      <c r="P11" s="119">
        <v>5.0</v>
      </c>
      <c r="Q11" s="119">
        <v>5.0</v>
      </c>
      <c r="R11" s="119">
        <v>3.0</v>
      </c>
      <c r="S11" s="307">
        <f t="shared" si="4"/>
        <v>4.333333333</v>
      </c>
      <c r="T11" s="119">
        <v>5.0</v>
      </c>
      <c r="U11" s="119">
        <v>5.0</v>
      </c>
      <c r="V11" s="62">
        <v>5.0</v>
      </c>
      <c r="W11" s="308">
        <f t="shared" si="5"/>
        <v>5</v>
      </c>
      <c r="X11" s="119">
        <v>5.0</v>
      </c>
      <c r="Y11" s="119">
        <v>5.0</v>
      </c>
      <c r="Z11" s="62">
        <v>6.0</v>
      </c>
      <c r="AA11" s="62">
        <v>5.0</v>
      </c>
      <c r="AB11" s="212">
        <f t="shared" si="6"/>
        <v>5.25</v>
      </c>
      <c r="AC11" s="119">
        <v>5.0</v>
      </c>
      <c r="AD11" s="119">
        <v>5.0</v>
      </c>
      <c r="AE11" s="302">
        <v>3.0</v>
      </c>
      <c r="AF11" s="309">
        <f t="shared" si="7"/>
        <v>4.333333333</v>
      </c>
      <c r="AG11" s="63">
        <f t="shared" si="8"/>
        <v>4.741666667</v>
      </c>
    </row>
    <row r="12" ht="15.75" customHeight="1">
      <c r="A12" s="142">
        <v>5.0</v>
      </c>
      <c r="B12" s="304" t="s">
        <v>157</v>
      </c>
      <c r="C12" s="65" t="s">
        <v>45</v>
      </c>
      <c r="D12" s="62"/>
      <c r="E12" s="62"/>
      <c r="F12" s="305">
        <f t="shared" si="1"/>
        <v>0</v>
      </c>
      <c r="G12" s="62"/>
      <c r="H12" s="62"/>
      <c r="I12" s="209">
        <f t="shared" si="2"/>
        <v>0</v>
      </c>
      <c r="J12" s="62"/>
      <c r="K12" s="119"/>
      <c r="L12" s="62"/>
      <c r="M12" s="62"/>
      <c r="N12" s="62"/>
      <c r="O12" s="306">
        <f t="shared" si="3"/>
        <v>0</v>
      </c>
      <c r="P12" s="62"/>
      <c r="Q12" s="62"/>
      <c r="R12" s="62"/>
      <c r="S12" s="307">
        <f t="shared" si="4"/>
        <v>0</v>
      </c>
      <c r="T12" s="62"/>
      <c r="U12" s="62"/>
      <c r="V12" s="62"/>
      <c r="W12" s="308">
        <f t="shared" si="5"/>
        <v>0</v>
      </c>
      <c r="X12" s="62"/>
      <c r="Y12" s="62"/>
      <c r="Z12" s="62"/>
      <c r="AA12" s="62"/>
      <c r="AB12" s="212">
        <f t="shared" si="6"/>
        <v>0</v>
      </c>
      <c r="AC12" s="62"/>
      <c r="AD12" s="62"/>
      <c r="AE12" s="302"/>
      <c r="AF12" s="309">
        <f t="shared" si="7"/>
        <v>0</v>
      </c>
      <c r="AG12" s="63">
        <f t="shared" si="8"/>
        <v>0</v>
      </c>
    </row>
    <row r="13" ht="15.75" customHeight="1">
      <c r="A13" s="142">
        <v>6.0</v>
      </c>
      <c r="B13" s="304" t="s">
        <v>158</v>
      </c>
      <c r="C13" s="65" t="s">
        <v>45</v>
      </c>
      <c r="D13" s="62">
        <v>3.0</v>
      </c>
      <c r="E13" s="62">
        <v>3.0</v>
      </c>
      <c r="F13" s="305">
        <f t="shared" si="1"/>
        <v>3</v>
      </c>
      <c r="G13" s="62">
        <v>3.0</v>
      </c>
      <c r="H13" s="62">
        <v>3.0</v>
      </c>
      <c r="I13" s="209">
        <f t="shared" si="2"/>
        <v>3</v>
      </c>
      <c r="J13" s="62">
        <v>3.0</v>
      </c>
      <c r="K13" s="62">
        <v>4.0</v>
      </c>
      <c r="L13" s="62">
        <v>3.0</v>
      </c>
      <c r="M13" s="62">
        <v>3.0</v>
      </c>
      <c r="N13" s="62">
        <v>4.0</v>
      </c>
      <c r="O13" s="306">
        <f t="shared" si="3"/>
        <v>3.5</v>
      </c>
      <c r="P13" s="62">
        <v>3.0</v>
      </c>
      <c r="Q13" s="62">
        <v>3.0</v>
      </c>
      <c r="R13" s="62">
        <v>3.0</v>
      </c>
      <c r="S13" s="307">
        <f t="shared" si="4"/>
        <v>3</v>
      </c>
      <c r="T13" s="62">
        <v>3.0</v>
      </c>
      <c r="U13" s="62">
        <v>3.0</v>
      </c>
      <c r="V13" s="119">
        <v>4.0</v>
      </c>
      <c r="W13" s="308">
        <f t="shared" si="5"/>
        <v>3.333333333</v>
      </c>
      <c r="X13" s="62">
        <v>3.0</v>
      </c>
      <c r="Y13" s="62">
        <v>3.0</v>
      </c>
      <c r="Z13" s="119">
        <v>4.0</v>
      </c>
      <c r="AA13" s="62">
        <v>4.0</v>
      </c>
      <c r="AB13" s="212">
        <f t="shared" si="6"/>
        <v>3.5</v>
      </c>
      <c r="AC13" s="62">
        <v>3.0</v>
      </c>
      <c r="AD13" s="62">
        <v>3.0</v>
      </c>
      <c r="AE13" s="302">
        <v>3.0</v>
      </c>
      <c r="AF13" s="309">
        <f t="shared" si="7"/>
        <v>3</v>
      </c>
      <c r="AG13" s="63">
        <f t="shared" si="8"/>
        <v>3.233333333</v>
      </c>
    </row>
    <row r="14" ht="15.75" customHeight="1">
      <c r="A14" s="293">
        <v>7.0</v>
      </c>
      <c r="B14" s="304" t="s">
        <v>159</v>
      </c>
      <c r="C14" s="65" t="s">
        <v>45</v>
      </c>
      <c r="D14" s="62">
        <v>5.0</v>
      </c>
      <c r="E14" s="62">
        <v>5.0</v>
      </c>
      <c r="F14" s="305">
        <f t="shared" si="1"/>
        <v>5</v>
      </c>
      <c r="G14" s="62">
        <v>5.0</v>
      </c>
      <c r="H14" s="62">
        <v>5.0</v>
      </c>
      <c r="I14" s="209">
        <f t="shared" si="2"/>
        <v>5</v>
      </c>
      <c r="J14" s="62">
        <v>5.0</v>
      </c>
      <c r="K14" s="119">
        <v>4.0</v>
      </c>
      <c r="L14" s="62">
        <v>5.0</v>
      </c>
      <c r="M14" s="62">
        <v>5.0</v>
      </c>
      <c r="N14" s="62">
        <v>4.0</v>
      </c>
      <c r="O14" s="306">
        <f t="shared" si="3"/>
        <v>4.5</v>
      </c>
      <c r="P14" s="62">
        <v>5.0</v>
      </c>
      <c r="Q14" s="62">
        <v>5.0</v>
      </c>
      <c r="R14" s="119">
        <v>3.0</v>
      </c>
      <c r="S14" s="307">
        <f t="shared" si="4"/>
        <v>4.333333333</v>
      </c>
      <c r="T14" s="62">
        <v>5.0</v>
      </c>
      <c r="U14" s="62">
        <v>5.0</v>
      </c>
      <c r="V14" s="62">
        <v>5.0</v>
      </c>
      <c r="W14" s="308">
        <f t="shared" si="5"/>
        <v>5</v>
      </c>
      <c r="X14" s="62">
        <v>5.0</v>
      </c>
      <c r="Y14" s="62">
        <v>5.0</v>
      </c>
      <c r="Z14" s="62">
        <v>6.0</v>
      </c>
      <c r="AA14" s="62">
        <v>5.0</v>
      </c>
      <c r="AB14" s="212">
        <f t="shared" si="6"/>
        <v>5.25</v>
      </c>
      <c r="AC14" s="62">
        <v>5.0</v>
      </c>
      <c r="AD14" s="62">
        <v>5.0</v>
      </c>
      <c r="AE14" s="302">
        <v>3.0</v>
      </c>
      <c r="AF14" s="309">
        <f t="shared" si="7"/>
        <v>4.333333333</v>
      </c>
      <c r="AG14" s="63">
        <f t="shared" si="8"/>
        <v>4.741666667</v>
      </c>
    </row>
    <row r="15" ht="15.75" customHeight="1">
      <c r="A15" s="142">
        <v>8.0</v>
      </c>
      <c r="B15" s="304" t="s">
        <v>160</v>
      </c>
      <c r="C15" s="65" t="s">
        <v>44</v>
      </c>
      <c r="D15" s="62">
        <v>5.0</v>
      </c>
      <c r="E15" s="62">
        <v>5.0</v>
      </c>
      <c r="F15" s="305">
        <f t="shared" si="1"/>
        <v>5</v>
      </c>
      <c r="G15" s="62">
        <v>5.0</v>
      </c>
      <c r="H15" s="62">
        <v>5.0</v>
      </c>
      <c r="I15" s="209">
        <f t="shared" si="2"/>
        <v>5</v>
      </c>
      <c r="J15" s="62">
        <v>5.0</v>
      </c>
      <c r="K15" s="62">
        <v>4.0</v>
      </c>
      <c r="L15" s="62">
        <v>5.0</v>
      </c>
      <c r="M15" s="62">
        <v>5.0</v>
      </c>
      <c r="N15" s="62">
        <v>4.0</v>
      </c>
      <c r="O15" s="306">
        <f t="shared" si="3"/>
        <v>4.5</v>
      </c>
      <c r="P15" s="62">
        <v>5.0</v>
      </c>
      <c r="Q15" s="62">
        <v>5.0</v>
      </c>
      <c r="R15" s="62">
        <v>3.0</v>
      </c>
      <c r="S15" s="307">
        <f t="shared" si="4"/>
        <v>4.333333333</v>
      </c>
      <c r="T15" s="62">
        <v>5.0</v>
      </c>
      <c r="U15" s="62">
        <v>5.0</v>
      </c>
      <c r="V15" s="62">
        <v>5.0</v>
      </c>
      <c r="W15" s="308">
        <f t="shared" si="5"/>
        <v>5</v>
      </c>
      <c r="X15" s="62">
        <v>5.0</v>
      </c>
      <c r="Y15" s="62">
        <v>5.0</v>
      </c>
      <c r="Z15" s="62">
        <v>6.0</v>
      </c>
      <c r="AA15" s="62">
        <v>5.0</v>
      </c>
      <c r="AB15" s="212">
        <f t="shared" si="6"/>
        <v>5.25</v>
      </c>
      <c r="AC15" s="62">
        <v>5.0</v>
      </c>
      <c r="AD15" s="62">
        <v>5.0</v>
      </c>
      <c r="AE15" s="302">
        <v>3.0</v>
      </c>
      <c r="AF15" s="309">
        <f t="shared" si="7"/>
        <v>4.333333333</v>
      </c>
      <c r="AG15" s="63">
        <f t="shared" si="8"/>
        <v>4.741666667</v>
      </c>
    </row>
    <row r="16" ht="15.75" customHeight="1">
      <c r="A16" s="142">
        <v>9.0</v>
      </c>
      <c r="B16" s="304" t="s">
        <v>161</v>
      </c>
      <c r="C16" s="65" t="s">
        <v>44</v>
      </c>
      <c r="D16" s="62">
        <v>3.0</v>
      </c>
      <c r="E16" s="62">
        <v>3.0</v>
      </c>
      <c r="F16" s="305">
        <f t="shared" si="1"/>
        <v>3</v>
      </c>
      <c r="G16" s="62">
        <v>3.0</v>
      </c>
      <c r="H16" s="62">
        <v>3.0</v>
      </c>
      <c r="I16" s="209">
        <f t="shared" si="2"/>
        <v>3</v>
      </c>
      <c r="J16" s="62">
        <v>3.0</v>
      </c>
      <c r="K16" s="119">
        <v>4.0</v>
      </c>
      <c r="L16" s="62">
        <v>3.0</v>
      </c>
      <c r="M16" s="62">
        <v>3.0</v>
      </c>
      <c r="N16" s="62">
        <v>4.0</v>
      </c>
      <c r="O16" s="306">
        <f t="shared" si="3"/>
        <v>3.5</v>
      </c>
      <c r="P16" s="62">
        <v>3.0</v>
      </c>
      <c r="Q16" s="62">
        <v>3.0</v>
      </c>
      <c r="R16" s="62">
        <v>3.0</v>
      </c>
      <c r="S16" s="307">
        <f t="shared" si="4"/>
        <v>3</v>
      </c>
      <c r="T16" s="62">
        <v>3.0</v>
      </c>
      <c r="U16" s="62">
        <v>3.0</v>
      </c>
      <c r="V16" s="62">
        <v>5.0</v>
      </c>
      <c r="W16" s="308">
        <f t="shared" si="5"/>
        <v>3.666666667</v>
      </c>
      <c r="X16" s="62">
        <v>3.0</v>
      </c>
      <c r="Y16" s="62">
        <v>3.0</v>
      </c>
      <c r="Z16" s="62">
        <v>6.0</v>
      </c>
      <c r="AA16" s="62">
        <v>5.0</v>
      </c>
      <c r="AB16" s="212">
        <f t="shared" si="6"/>
        <v>4.25</v>
      </c>
      <c r="AC16" s="62">
        <v>3.0</v>
      </c>
      <c r="AD16" s="62">
        <v>3.0</v>
      </c>
      <c r="AE16" s="302">
        <v>3.0</v>
      </c>
      <c r="AF16" s="309">
        <f t="shared" si="7"/>
        <v>3</v>
      </c>
      <c r="AG16" s="63">
        <f t="shared" si="8"/>
        <v>3.341666667</v>
      </c>
    </row>
    <row r="17" ht="15.75" customHeight="1">
      <c r="A17" s="293">
        <v>10.0</v>
      </c>
      <c r="B17" s="304" t="s">
        <v>162</v>
      </c>
      <c r="C17" s="65" t="s">
        <v>44</v>
      </c>
      <c r="D17" s="62">
        <v>5.0</v>
      </c>
      <c r="E17" s="62">
        <v>5.0</v>
      </c>
      <c r="F17" s="305">
        <f t="shared" si="1"/>
        <v>5</v>
      </c>
      <c r="G17" s="62">
        <v>5.0</v>
      </c>
      <c r="H17" s="62">
        <v>5.0</v>
      </c>
      <c r="I17" s="209">
        <f t="shared" si="2"/>
        <v>5</v>
      </c>
      <c r="J17" s="62">
        <v>5.0</v>
      </c>
      <c r="K17" s="62">
        <v>4.0</v>
      </c>
      <c r="L17" s="62">
        <v>5.0</v>
      </c>
      <c r="M17" s="62">
        <v>5.0</v>
      </c>
      <c r="N17" s="62">
        <v>4.0</v>
      </c>
      <c r="O17" s="306">
        <f t="shared" si="3"/>
        <v>4.5</v>
      </c>
      <c r="P17" s="62">
        <v>5.0</v>
      </c>
      <c r="Q17" s="62">
        <v>5.0</v>
      </c>
      <c r="R17" s="119">
        <v>3.0</v>
      </c>
      <c r="S17" s="307">
        <f t="shared" si="4"/>
        <v>4.333333333</v>
      </c>
      <c r="T17" s="62">
        <v>5.0</v>
      </c>
      <c r="U17" s="62">
        <v>5.0</v>
      </c>
      <c r="V17" s="62">
        <v>5.0</v>
      </c>
      <c r="W17" s="308">
        <f t="shared" si="5"/>
        <v>5</v>
      </c>
      <c r="X17" s="62">
        <v>5.0</v>
      </c>
      <c r="Y17" s="62">
        <v>5.0</v>
      </c>
      <c r="Z17" s="62">
        <v>6.0</v>
      </c>
      <c r="AA17" s="62">
        <v>5.0</v>
      </c>
      <c r="AB17" s="212">
        <f t="shared" si="6"/>
        <v>5.25</v>
      </c>
      <c r="AC17" s="62">
        <v>5.0</v>
      </c>
      <c r="AD17" s="62">
        <v>5.0</v>
      </c>
      <c r="AE17" s="302">
        <v>3.0</v>
      </c>
      <c r="AF17" s="309">
        <f t="shared" si="7"/>
        <v>4.333333333</v>
      </c>
      <c r="AG17" s="63">
        <f t="shared" si="8"/>
        <v>4.741666667</v>
      </c>
    </row>
    <row r="18" ht="15.75" customHeight="1">
      <c r="A18" s="142">
        <v>11.0</v>
      </c>
      <c r="B18" s="304" t="s">
        <v>163</v>
      </c>
      <c r="C18" s="65" t="s">
        <v>44</v>
      </c>
      <c r="D18" s="62">
        <v>4.0</v>
      </c>
      <c r="E18" s="62">
        <v>4.0</v>
      </c>
      <c r="F18" s="305">
        <f t="shared" si="1"/>
        <v>4</v>
      </c>
      <c r="G18" s="62">
        <v>4.0</v>
      </c>
      <c r="H18" s="62">
        <v>4.0</v>
      </c>
      <c r="I18" s="209">
        <f t="shared" si="2"/>
        <v>4</v>
      </c>
      <c r="J18" s="62">
        <v>4.0</v>
      </c>
      <c r="K18" s="119">
        <v>4.0</v>
      </c>
      <c r="L18" s="62">
        <v>4.0</v>
      </c>
      <c r="M18" s="62">
        <v>4.0</v>
      </c>
      <c r="N18" s="62">
        <v>4.0</v>
      </c>
      <c r="O18" s="306">
        <f t="shared" si="3"/>
        <v>4</v>
      </c>
      <c r="P18" s="62">
        <v>4.0</v>
      </c>
      <c r="Q18" s="62">
        <v>4.0</v>
      </c>
      <c r="R18" s="62">
        <v>3.0</v>
      </c>
      <c r="S18" s="307">
        <f t="shared" si="4"/>
        <v>3.666666667</v>
      </c>
      <c r="T18" s="62">
        <v>4.0</v>
      </c>
      <c r="U18" s="62">
        <v>4.0</v>
      </c>
      <c r="V18" s="119">
        <v>5.0</v>
      </c>
      <c r="W18" s="308">
        <f t="shared" si="5"/>
        <v>4.333333333</v>
      </c>
      <c r="X18" s="62">
        <v>4.0</v>
      </c>
      <c r="Y18" s="62">
        <v>4.0</v>
      </c>
      <c r="Z18" s="119">
        <v>5.0</v>
      </c>
      <c r="AA18" s="62">
        <v>5.0</v>
      </c>
      <c r="AB18" s="212">
        <f t="shared" si="6"/>
        <v>4.5</v>
      </c>
      <c r="AC18" s="62">
        <v>4.0</v>
      </c>
      <c r="AD18" s="62">
        <v>4.0</v>
      </c>
      <c r="AE18" s="302">
        <v>3.0</v>
      </c>
      <c r="AF18" s="309">
        <f t="shared" si="7"/>
        <v>3.666666667</v>
      </c>
      <c r="AG18" s="63">
        <f t="shared" si="8"/>
        <v>4.016666667</v>
      </c>
    </row>
    <row r="19" ht="15.75" customHeight="1">
      <c r="A19" s="142">
        <v>12.0</v>
      </c>
      <c r="B19" s="304" t="s">
        <v>164</v>
      </c>
      <c r="C19" s="65" t="s">
        <v>44</v>
      </c>
      <c r="D19" s="62">
        <v>5.0</v>
      </c>
      <c r="E19" s="62">
        <v>5.0</v>
      </c>
      <c r="F19" s="305">
        <f t="shared" si="1"/>
        <v>5</v>
      </c>
      <c r="G19" s="62">
        <v>5.0</v>
      </c>
      <c r="H19" s="62">
        <v>5.0</v>
      </c>
      <c r="I19" s="209">
        <f t="shared" si="2"/>
        <v>5</v>
      </c>
      <c r="J19" s="62">
        <v>5.0</v>
      </c>
      <c r="K19" s="62">
        <v>4.0</v>
      </c>
      <c r="L19" s="62">
        <v>5.0</v>
      </c>
      <c r="M19" s="62">
        <v>5.0</v>
      </c>
      <c r="N19" s="62">
        <v>4.0</v>
      </c>
      <c r="O19" s="306">
        <f t="shared" si="3"/>
        <v>4.5</v>
      </c>
      <c r="P19" s="62">
        <v>5.0</v>
      </c>
      <c r="Q19" s="62">
        <v>5.0</v>
      </c>
      <c r="R19" s="62">
        <v>3.0</v>
      </c>
      <c r="S19" s="307">
        <f t="shared" si="4"/>
        <v>4.333333333</v>
      </c>
      <c r="T19" s="62">
        <v>5.0</v>
      </c>
      <c r="U19" s="62">
        <v>5.0</v>
      </c>
      <c r="V19" s="62">
        <v>5.0</v>
      </c>
      <c r="W19" s="308">
        <f t="shared" si="5"/>
        <v>5</v>
      </c>
      <c r="X19" s="62">
        <v>5.0</v>
      </c>
      <c r="Y19" s="62">
        <v>5.0</v>
      </c>
      <c r="Z19" s="62">
        <v>5.0</v>
      </c>
      <c r="AA19" s="62">
        <v>5.0</v>
      </c>
      <c r="AB19" s="212">
        <f t="shared" si="6"/>
        <v>5</v>
      </c>
      <c r="AC19" s="62">
        <v>5.0</v>
      </c>
      <c r="AD19" s="62">
        <v>5.0</v>
      </c>
      <c r="AE19" s="302">
        <v>3.0</v>
      </c>
      <c r="AF19" s="309">
        <f t="shared" si="7"/>
        <v>4.333333333</v>
      </c>
      <c r="AG19" s="63">
        <f t="shared" si="8"/>
        <v>4.716666667</v>
      </c>
    </row>
    <row r="20" ht="15.75" customHeight="1">
      <c r="A20" s="293">
        <v>13.0</v>
      </c>
      <c r="B20" s="304" t="s">
        <v>165</v>
      </c>
      <c r="C20" s="65" t="s">
        <v>44</v>
      </c>
      <c r="D20" s="62">
        <v>5.0</v>
      </c>
      <c r="E20" s="62">
        <v>5.0</v>
      </c>
      <c r="F20" s="305">
        <f t="shared" si="1"/>
        <v>5</v>
      </c>
      <c r="G20" s="62">
        <v>5.0</v>
      </c>
      <c r="H20" s="62">
        <v>5.0</v>
      </c>
      <c r="I20" s="209">
        <f t="shared" si="2"/>
        <v>5</v>
      </c>
      <c r="J20" s="62">
        <v>5.0</v>
      </c>
      <c r="K20" s="119">
        <v>4.0</v>
      </c>
      <c r="L20" s="62">
        <v>5.0</v>
      </c>
      <c r="M20" s="62">
        <v>5.0</v>
      </c>
      <c r="N20" s="62">
        <v>4.0</v>
      </c>
      <c r="O20" s="306">
        <f t="shared" si="3"/>
        <v>4.5</v>
      </c>
      <c r="P20" s="62">
        <v>5.0</v>
      </c>
      <c r="Q20" s="62">
        <v>5.0</v>
      </c>
      <c r="R20" s="119">
        <v>3.0</v>
      </c>
      <c r="S20" s="307">
        <f t="shared" si="4"/>
        <v>4.333333333</v>
      </c>
      <c r="T20" s="62">
        <v>5.0</v>
      </c>
      <c r="U20" s="62">
        <v>5.0</v>
      </c>
      <c r="V20" s="62">
        <v>5.0</v>
      </c>
      <c r="W20" s="308">
        <f t="shared" si="5"/>
        <v>5</v>
      </c>
      <c r="X20" s="62">
        <v>5.0</v>
      </c>
      <c r="Y20" s="62">
        <v>5.0</v>
      </c>
      <c r="Z20" s="62">
        <v>5.0</v>
      </c>
      <c r="AA20" s="62">
        <v>5.0</v>
      </c>
      <c r="AB20" s="212">
        <f t="shared" si="6"/>
        <v>5</v>
      </c>
      <c r="AC20" s="62">
        <v>5.0</v>
      </c>
      <c r="AD20" s="62">
        <v>5.0</v>
      </c>
      <c r="AE20" s="302">
        <v>3.0</v>
      </c>
      <c r="AF20" s="309">
        <f t="shared" si="7"/>
        <v>4.333333333</v>
      </c>
      <c r="AG20" s="63">
        <f t="shared" si="8"/>
        <v>4.716666667</v>
      </c>
    </row>
    <row r="21" ht="15.75" customHeight="1">
      <c r="A21" s="142">
        <v>14.0</v>
      </c>
      <c r="B21" s="304" t="s">
        <v>166</v>
      </c>
      <c r="C21" s="65" t="s">
        <v>44</v>
      </c>
      <c r="D21" s="62">
        <v>6.0</v>
      </c>
      <c r="E21" s="62">
        <v>6.0</v>
      </c>
      <c r="F21" s="305">
        <f t="shared" si="1"/>
        <v>6</v>
      </c>
      <c r="G21" s="62">
        <v>6.0</v>
      </c>
      <c r="H21" s="62">
        <v>6.0</v>
      </c>
      <c r="I21" s="209">
        <f t="shared" si="2"/>
        <v>6</v>
      </c>
      <c r="J21" s="62">
        <v>6.0</v>
      </c>
      <c r="K21" s="62">
        <v>4.0</v>
      </c>
      <c r="L21" s="62">
        <v>6.0</v>
      </c>
      <c r="M21" s="62">
        <v>6.0</v>
      </c>
      <c r="N21" s="62">
        <v>6.0</v>
      </c>
      <c r="O21" s="306">
        <f t="shared" si="3"/>
        <v>6</v>
      </c>
      <c r="P21" s="62">
        <v>6.0</v>
      </c>
      <c r="Q21" s="62">
        <v>6.0</v>
      </c>
      <c r="R21" s="62">
        <v>5.0</v>
      </c>
      <c r="S21" s="307">
        <f t="shared" si="4"/>
        <v>5.666666667</v>
      </c>
      <c r="T21" s="62">
        <v>6.0</v>
      </c>
      <c r="U21" s="62">
        <v>6.0</v>
      </c>
      <c r="V21" s="62">
        <v>5.0</v>
      </c>
      <c r="W21" s="308">
        <f t="shared" si="5"/>
        <v>5.666666667</v>
      </c>
      <c r="X21" s="62">
        <v>6.0</v>
      </c>
      <c r="Y21" s="62">
        <v>6.0</v>
      </c>
      <c r="Z21" s="62">
        <v>6.0</v>
      </c>
      <c r="AA21" s="62">
        <v>5.0</v>
      </c>
      <c r="AB21" s="212">
        <f t="shared" si="6"/>
        <v>5.75</v>
      </c>
      <c r="AC21" s="62">
        <v>6.0</v>
      </c>
      <c r="AD21" s="62">
        <v>6.0</v>
      </c>
      <c r="AE21" s="302">
        <v>5.0</v>
      </c>
      <c r="AF21" s="309">
        <f t="shared" si="7"/>
        <v>5.666666667</v>
      </c>
      <c r="AG21" s="63">
        <f t="shared" si="8"/>
        <v>5.675</v>
      </c>
    </row>
    <row r="22" ht="15.75" customHeight="1">
      <c r="A22" s="142">
        <v>15.0</v>
      </c>
      <c r="B22" s="304" t="s">
        <v>167</v>
      </c>
      <c r="C22" s="65" t="s">
        <v>44</v>
      </c>
      <c r="D22" s="62">
        <v>5.0</v>
      </c>
      <c r="E22" s="62">
        <v>5.0</v>
      </c>
      <c r="F22" s="305">
        <f t="shared" si="1"/>
        <v>5</v>
      </c>
      <c r="G22" s="62">
        <v>5.0</v>
      </c>
      <c r="H22" s="62">
        <v>5.0</v>
      </c>
      <c r="I22" s="209">
        <f t="shared" si="2"/>
        <v>5</v>
      </c>
      <c r="J22" s="62">
        <v>5.0</v>
      </c>
      <c r="K22" s="119">
        <v>4.0</v>
      </c>
      <c r="L22" s="62">
        <v>5.0</v>
      </c>
      <c r="M22" s="62">
        <v>5.0</v>
      </c>
      <c r="N22" s="62">
        <v>4.0</v>
      </c>
      <c r="O22" s="306">
        <f t="shared" si="3"/>
        <v>4.5</v>
      </c>
      <c r="P22" s="62">
        <v>5.0</v>
      </c>
      <c r="Q22" s="62">
        <v>5.0</v>
      </c>
      <c r="R22" s="62">
        <v>3.0</v>
      </c>
      <c r="S22" s="307">
        <f t="shared" si="4"/>
        <v>4.333333333</v>
      </c>
      <c r="T22" s="62">
        <v>5.0</v>
      </c>
      <c r="U22" s="62">
        <v>5.0</v>
      </c>
      <c r="V22" s="62">
        <v>5.0</v>
      </c>
      <c r="W22" s="308">
        <f t="shared" si="5"/>
        <v>5</v>
      </c>
      <c r="X22" s="62">
        <v>5.0</v>
      </c>
      <c r="Y22" s="62">
        <v>5.0</v>
      </c>
      <c r="Z22" s="62">
        <v>5.0</v>
      </c>
      <c r="AA22" s="62">
        <v>5.0</v>
      </c>
      <c r="AB22" s="212">
        <f t="shared" si="6"/>
        <v>5</v>
      </c>
      <c r="AC22" s="62">
        <v>5.0</v>
      </c>
      <c r="AD22" s="62">
        <v>5.0</v>
      </c>
      <c r="AE22" s="302">
        <v>3.0</v>
      </c>
      <c r="AF22" s="309">
        <f t="shared" si="7"/>
        <v>4.333333333</v>
      </c>
      <c r="AG22" s="63">
        <f t="shared" si="8"/>
        <v>4.716666667</v>
      </c>
    </row>
    <row r="23" ht="15.75" customHeight="1">
      <c r="A23" s="293">
        <v>16.0</v>
      </c>
      <c r="B23" s="304" t="s">
        <v>168</v>
      </c>
      <c r="C23" s="65" t="s">
        <v>44</v>
      </c>
      <c r="D23" s="62">
        <v>4.0</v>
      </c>
      <c r="E23" s="62">
        <v>4.0</v>
      </c>
      <c r="F23" s="305">
        <f t="shared" si="1"/>
        <v>4</v>
      </c>
      <c r="G23" s="62">
        <v>4.0</v>
      </c>
      <c r="H23" s="62">
        <v>4.0</v>
      </c>
      <c r="I23" s="209">
        <f t="shared" si="2"/>
        <v>4</v>
      </c>
      <c r="J23" s="62">
        <v>4.0</v>
      </c>
      <c r="K23" s="62">
        <v>4.0</v>
      </c>
      <c r="L23" s="62">
        <v>4.0</v>
      </c>
      <c r="M23" s="62">
        <v>4.0</v>
      </c>
      <c r="N23" s="62">
        <v>4.0</v>
      </c>
      <c r="O23" s="306">
        <f t="shared" si="3"/>
        <v>4</v>
      </c>
      <c r="P23" s="62">
        <v>4.0</v>
      </c>
      <c r="Q23" s="62">
        <v>4.0</v>
      </c>
      <c r="R23" s="119">
        <v>3.0</v>
      </c>
      <c r="S23" s="307">
        <f t="shared" si="4"/>
        <v>3.666666667</v>
      </c>
      <c r="T23" s="62">
        <v>4.0</v>
      </c>
      <c r="U23" s="62">
        <v>4.0</v>
      </c>
      <c r="V23" s="119">
        <v>5.0</v>
      </c>
      <c r="W23" s="308">
        <f t="shared" si="5"/>
        <v>4.333333333</v>
      </c>
      <c r="X23" s="62">
        <v>4.0</v>
      </c>
      <c r="Y23" s="62">
        <v>4.0</v>
      </c>
      <c r="Z23" s="119">
        <v>5.0</v>
      </c>
      <c r="AA23" s="62">
        <v>5.0</v>
      </c>
      <c r="AB23" s="212">
        <f t="shared" si="6"/>
        <v>4.5</v>
      </c>
      <c r="AC23" s="62">
        <v>4.0</v>
      </c>
      <c r="AD23" s="62">
        <v>4.0</v>
      </c>
      <c r="AE23" s="302">
        <v>3.0</v>
      </c>
      <c r="AF23" s="309">
        <f t="shared" si="7"/>
        <v>3.666666667</v>
      </c>
      <c r="AG23" s="63">
        <f t="shared" si="8"/>
        <v>4.016666667</v>
      </c>
    </row>
    <row r="24" ht="15.75" customHeight="1">
      <c r="A24" s="142">
        <v>17.0</v>
      </c>
      <c r="B24" s="304" t="s">
        <v>169</v>
      </c>
      <c r="C24" s="65" t="s">
        <v>44</v>
      </c>
      <c r="D24" s="62">
        <v>4.0</v>
      </c>
      <c r="E24" s="62">
        <v>4.0</v>
      </c>
      <c r="F24" s="305">
        <f t="shared" si="1"/>
        <v>4</v>
      </c>
      <c r="G24" s="62">
        <v>4.0</v>
      </c>
      <c r="H24" s="62">
        <v>4.0</v>
      </c>
      <c r="I24" s="209">
        <f t="shared" si="2"/>
        <v>4</v>
      </c>
      <c r="J24" s="62">
        <v>4.0</v>
      </c>
      <c r="K24" s="119">
        <v>4.0</v>
      </c>
      <c r="L24" s="62">
        <v>4.0</v>
      </c>
      <c r="M24" s="62">
        <v>4.0</v>
      </c>
      <c r="N24" s="62">
        <v>4.0</v>
      </c>
      <c r="O24" s="306">
        <f t="shared" si="3"/>
        <v>4</v>
      </c>
      <c r="P24" s="62">
        <v>4.0</v>
      </c>
      <c r="Q24" s="62">
        <v>4.0</v>
      </c>
      <c r="R24" s="62">
        <v>3.0</v>
      </c>
      <c r="S24" s="307">
        <f t="shared" si="4"/>
        <v>3.666666667</v>
      </c>
      <c r="T24" s="62">
        <v>4.0</v>
      </c>
      <c r="U24" s="62">
        <v>4.0</v>
      </c>
      <c r="V24" s="62">
        <v>5.0</v>
      </c>
      <c r="W24" s="308">
        <f t="shared" si="5"/>
        <v>4.333333333</v>
      </c>
      <c r="X24" s="62">
        <v>4.0</v>
      </c>
      <c r="Y24" s="62">
        <v>4.0</v>
      </c>
      <c r="Z24" s="62">
        <v>5.0</v>
      </c>
      <c r="AA24" s="62">
        <v>5.0</v>
      </c>
      <c r="AB24" s="212">
        <f t="shared" si="6"/>
        <v>4.5</v>
      </c>
      <c r="AC24" s="62">
        <v>4.0</v>
      </c>
      <c r="AD24" s="62">
        <v>4.0</v>
      </c>
      <c r="AE24" s="302">
        <v>3.0</v>
      </c>
      <c r="AF24" s="309">
        <f t="shared" si="7"/>
        <v>3.666666667</v>
      </c>
      <c r="AG24" s="63">
        <f t="shared" si="8"/>
        <v>4.016666667</v>
      </c>
    </row>
    <row r="25" ht="15.75" customHeight="1">
      <c r="A25" s="142">
        <v>18.0</v>
      </c>
      <c r="B25" s="304" t="s">
        <v>170</v>
      </c>
      <c r="C25" s="65" t="s">
        <v>44</v>
      </c>
      <c r="D25" s="62">
        <v>5.0</v>
      </c>
      <c r="E25" s="62">
        <v>5.0</v>
      </c>
      <c r="F25" s="305">
        <f t="shared" si="1"/>
        <v>5</v>
      </c>
      <c r="G25" s="62">
        <v>5.0</v>
      </c>
      <c r="H25" s="62">
        <v>6.0</v>
      </c>
      <c r="I25" s="209">
        <f t="shared" si="2"/>
        <v>5.5</v>
      </c>
      <c r="J25" s="62">
        <v>5.0</v>
      </c>
      <c r="K25" s="62">
        <v>4.0</v>
      </c>
      <c r="L25" s="62">
        <v>5.0</v>
      </c>
      <c r="M25" s="62">
        <v>5.0</v>
      </c>
      <c r="N25" s="62">
        <v>4.0</v>
      </c>
      <c r="O25" s="306">
        <f t="shared" si="3"/>
        <v>4.5</v>
      </c>
      <c r="P25" s="62">
        <v>5.0</v>
      </c>
      <c r="Q25" s="62">
        <v>5.0</v>
      </c>
      <c r="R25" s="62">
        <v>3.0</v>
      </c>
      <c r="S25" s="307">
        <f t="shared" si="4"/>
        <v>4.333333333</v>
      </c>
      <c r="T25" s="62">
        <v>5.0</v>
      </c>
      <c r="U25" s="62">
        <v>5.0</v>
      </c>
      <c r="V25" s="62">
        <v>5.0</v>
      </c>
      <c r="W25" s="308">
        <f t="shared" si="5"/>
        <v>5</v>
      </c>
      <c r="X25" s="62">
        <v>5.0</v>
      </c>
      <c r="Y25" s="62">
        <v>5.0</v>
      </c>
      <c r="Z25" s="62">
        <v>5.0</v>
      </c>
      <c r="AA25" s="62">
        <v>5.0</v>
      </c>
      <c r="AB25" s="212">
        <f t="shared" si="6"/>
        <v>5</v>
      </c>
      <c r="AC25" s="62">
        <v>5.0</v>
      </c>
      <c r="AD25" s="62">
        <v>5.0</v>
      </c>
      <c r="AE25" s="302">
        <v>3.0</v>
      </c>
      <c r="AF25" s="309">
        <f t="shared" si="7"/>
        <v>4.333333333</v>
      </c>
      <c r="AG25" s="63">
        <f t="shared" si="8"/>
        <v>4.766666667</v>
      </c>
    </row>
    <row r="26" ht="15.75" customHeight="1">
      <c r="A26" s="293">
        <v>19.0</v>
      </c>
      <c r="B26" s="304" t="s">
        <v>171</v>
      </c>
      <c r="C26" s="65" t="s">
        <v>44</v>
      </c>
      <c r="D26" s="62">
        <v>5.0</v>
      </c>
      <c r="E26" s="62">
        <v>5.0</v>
      </c>
      <c r="F26" s="305">
        <f t="shared" si="1"/>
        <v>5</v>
      </c>
      <c r="G26" s="62">
        <v>5.0</v>
      </c>
      <c r="H26" s="62">
        <v>6.0</v>
      </c>
      <c r="I26" s="209">
        <f t="shared" si="2"/>
        <v>5.5</v>
      </c>
      <c r="J26" s="62">
        <v>5.0</v>
      </c>
      <c r="K26" s="119">
        <v>4.0</v>
      </c>
      <c r="L26" s="62">
        <v>5.0</v>
      </c>
      <c r="M26" s="62">
        <v>5.0</v>
      </c>
      <c r="N26" s="62">
        <v>4.0</v>
      </c>
      <c r="O26" s="306">
        <f t="shared" si="3"/>
        <v>4.5</v>
      </c>
      <c r="P26" s="62">
        <v>5.0</v>
      </c>
      <c r="Q26" s="62">
        <v>5.0</v>
      </c>
      <c r="R26" s="119">
        <v>3.0</v>
      </c>
      <c r="S26" s="307">
        <f t="shared" si="4"/>
        <v>4.333333333</v>
      </c>
      <c r="T26" s="62">
        <v>5.0</v>
      </c>
      <c r="U26" s="62">
        <v>5.0</v>
      </c>
      <c r="V26" s="62">
        <v>5.0</v>
      </c>
      <c r="W26" s="308">
        <f t="shared" si="5"/>
        <v>5</v>
      </c>
      <c r="X26" s="62">
        <v>5.0</v>
      </c>
      <c r="Y26" s="62">
        <v>5.0</v>
      </c>
      <c r="Z26" s="62">
        <v>5.0</v>
      </c>
      <c r="AA26" s="62">
        <v>5.0</v>
      </c>
      <c r="AB26" s="212">
        <f t="shared" si="6"/>
        <v>5</v>
      </c>
      <c r="AC26" s="62">
        <v>5.0</v>
      </c>
      <c r="AD26" s="62">
        <v>5.0</v>
      </c>
      <c r="AE26" s="302">
        <v>3.0</v>
      </c>
      <c r="AF26" s="309">
        <f t="shared" si="7"/>
        <v>4.333333333</v>
      </c>
      <c r="AG26" s="63">
        <f t="shared" si="8"/>
        <v>4.766666667</v>
      </c>
    </row>
    <row r="27" ht="15.75" customHeight="1">
      <c r="A27" s="142">
        <v>20.0</v>
      </c>
      <c r="B27" s="304" t="s">
        <v>172</v>
      </c>
      <c r="C27" s="65" t="s">
        <v>44</v>
      </c>
      <c r="D27" s="62">
        <v>5.0</v>
      </c>
      <c r="E27" s="62">
        <v>5.0</v>
      </c>
      <c r="F27" s="305">
        <f t="shared" si="1"/>
        <v>5</v>
      </c>
      <c r="G27" s="62">
        <v>5.0</v>
      </c>
      <c r="H27" s="62">
        <v>6.0</v>
      </c>
      <c r="I27" s="209">
        <f t="shared" si="2"/>
        <v>5.5</v>
      </c>
      <c r="J27" s="62">
        <v>5.0</v>
      </c>
      <c r="K27" s="62">
        <v>4.0</v>
      </c>
      <c r="L27" s="62">
        <v>5.0</v>
      </c>
      <c r="M27" s="62">
        <v>5.0</v>
      </c>
      <c r="N27" s="62">
        <v>4.0</v>
      </c>
      <c r="O27" s="306">
        <f t="shared" si="3"/>
        <v>4.5</v>
      </c>
      <c r="P27" s="62">
        <v>5.0</v>
      </c>
      <c r="Q27" s="62">
        <v>5.0</v>
      </c>
      <c r="R27" s="62">
        <v>3.0</v>
      </c>
      <c r="S27" s="307">
        <f t="shared" si="4"/>
        <v>4.333333333</v>
      </c>
      <c r="T27" s="62">
        <v>5.0</v>
      </c>
      <c r="U27" s="62">
        <v>5.0</v>
      </c>
      <c r="V27" s="62">
        <v>5.0</v>
      </c>
      <c r="W27" s="308">
        <f t="shared" si="5"/>
        <v>5</v>
      </c>
      <c r="X27" s="62">
        <v>5.0</v>
      </c>
      <c r="Y27" s="62">
        <v>5.0</v>
      </c>
      <c r="Z27" s="62">
        <v>5.0</v>
      </c>
      <c r="AA27" s="62">
        <v>5.0</v>
      </c>
      <c r="AB27" s="212">
        <f t="shared" si="6"/>
        <v>5</v>
      </c>
      <c r="AC27" s="62">
        <v>5.0</v>
      </c>
      <c r="AD27" s="62">
        <v>5.0</v>
      </c>
      <c r="AE27" s="302">
        <v>3.0</v>
      </c>
      <c r="AF27" s="309">
        <f t="shared" si="7"/>
        <v>4.333333333</v>
      </c>
      <c r="AG27" s="63">
        <f t="shared" si="8"/>
        <v>4.766666667</v>
      </c>
    </row>
    <row r="28" ht="15.75" customHeight="1">
      <c r="A28" s="142">
        <v>21.0</v>
      </c>
      <c r="B28" s="304" t="s">
        <v>173</v>
      </c>
      <c r="C28" s="65" t="s">
        <v>44</v>
      </c>
      <c r="D28" s="62">
        <v>3.0</v>
      </c>
      <c r="E28" s="62">
        <v>3.0</v>
      </c>
      <c r="F28" s="305">
        <f t="shared" si="1"/>
        <v>3</v>
      </c>
      <c r="G28" s="62">
        <v>3.0</v>
      </c>
      <c r="H28" s="62">
        <v>3.0</v>
      </c>
      <c r="I28" s="209">
        <f t="shared" si="2"/>
        <v>3</v>
      </c>
      <c r="J28" s="62">
        <v>3.0</v>
      </c>
      <c r="K28" s="119">
        <v>4.0</v>
      </c>
      <c r="L28" s="62">
        <v>3.0</v>
      </c>
      <c r="M28" s="62">
        <v>3.0</v>
      </c>
      <c r="N28" s="62">
        <v>4.0</v>
      </c>
      <c r="O28" s="306">
        <f t="shared" si="3"/>
        <v>3.5</v>
      </c>
      <c r="P28" s="62">
        <v>3.0</v>
      </c>
      <c r="Q28" s="62">
        <v>3.0</v>
      </c>
      <c r="R28" s="62">
        <v>3.0</v>
      </c>
      <c r="S28" s="307">
        <f t="shared" si="4"/>
        <v>3</v>
      </c>
      <c r="T28" s="62">
        <v>3.0</v>
      </c>
      <c r="U28" s="62">
        <v>3.0</v>
      </c>
      <c r="V28" s="119">
        <v>5.0</v>
      </c>
      <c r="W28" s="308">
        <f t="shared" si="5"/>
        <v>3.666666667</v>
      </c>
      <c r="X28" s="62">
        <v>3.0</v>
      </c>
      <c r="Y28" s="62">
        <v>3.0</v>
      </c>
      <c r="Z28" s="119">
        <v>5.0</v>
      </c>
      <c r="AA28" s="62">
        <v>5.0</v>
      </c>
      <c r="AB28" s="212">
        <f t="shared" si="6"/>
        <v>4</v>
      </c>
      <c r="AC28" s="62">
        <v>3.0</v>
      </c>
      <c r="AD28" s="62">
        <v>3.0</v>
      </c>
      <c r="AE28" s="302">
        <v>3.0</v>
      </c>
      <c r="AF28" s="309">
        <f t="shared" si="7"/>
        <v>3</v>
      </c>
      <c r="AG28" s="63">
        <f t="shared" si="8"/>
        <v>3.316666667</v>
      </c>
    </row>
    <row r="29" ht="15.75" customHeight="1">
      <c r="A29" s="293">
        <v>22.0</v>
      </c>
      <c r="B29" s="304" t="s">
        <v>174</v>
      </c>
      <c r="C29" s="65" t="s">
        <v>44</v>
      </c>
      <c r="D29" s="62">
        <v>3.0</v>
      </c>
      <c r="E29" s="62">
        <v>3.0</v>
      </c>
      <c r="F29" s="305">
        <f t="shared" si="1"/>
        <v>3</v>
      </c>
      <c r="G29" s="62">
        <v>3.0</v>
      </c>
      <c r="H29" s="62">
        <v>3.0</v>
      </c>
      <c r="I29" s="209">
        <f t="shared" si="2"/>
        <v>3</v>
      </c>
      <c r="J29" s="62">
        <v>3.0</v>
      </c>
      <c r="K29" s="62">
        <v>4.0</v>
      </c>
      <c r="L29" s="62">
        <v>3.0</v>
      </c>
      <c r="M29" s="62">
        <v>3.0</v>
      </c>
      <c r="N29" s="62">
        <v>4.0</v>
      </c>
      <c r="O29" s="306">
        <f t="shared" si="3"/>
        <v>3.5</v>
      </c>
      <c r="P29" s="62">
        <v>3.0</v>
      </c>
      <c r="Q29" s="62">
        <v>3.0</v>
      </c>
      <c r="R29" s="119">
        <v>3.0</v>
      </c>
      <c r="S29" s="307">
        <f t="shared" si="4"/>
        <v>3</v>
      </c>
      <c r="T29" s="62">
        <v>3.0</v>
      </c>
      <c r="U29" s="62">
        <v>3.0</v>
      </c>
      <c r="V29" s="62">
        <v>5.0</v>
      </c>
      <c r="W29" s="308">
        <f t="shared" si="5"/>
        <v>3.666666667</v>
      </c>
      <c r="X29" s="62">
        <v>3.0</v>
      </c>
      <c r="Y29" s="62">
        <v>3.0</v>
      </c>
      <c r="Z29" s="62">
        <v>5.0</v>
      </c>
      <c r="AA29" s="62">
        <v>5.0</v>
      </c>
      <c r="AB29" s="212">
        <f t="shared" si="6"/>
        <v>4</v>
      </c>
      <c r="AC29" s="62">
        <v>3.0</v>
      </c>
      <c r="AD29" s="62">
        <v>3.0</v>
      </c>
      <c r="AE29" s="302">
        <v>3.0</v>
      </c>
      <c r="AF29" s="309">
        <f t="shared" si="7"/>
        <v>3</v>
      </c>
      <c r="AG29" s="63">
        <f t="shared" si="8"/>
        <v>3.316666667</v>
      </c>
    </row>
    <row r="30" ht="15.75" customHeight="1">
      <c r="A30" s="142">
        <v>23.0</v>
      </c>
      <c r="B30" s="304" t="s">
        <v>175</v>
      </c>
      <c r="C30" s="65" t="s">
        <v>44</v>
      </c>
      <c r="D30" s="62">
        <v>4.0</v>
      </c>
      <c r="E30" s="62">
        <v>4.0</v>
      </c>
      <c r="F30" s="305">
        <f t="shared" si="1"/>
        <v>4</v>
      </c>
      <c r="G30" s="62">
        <v>4.0</v>
      </c>
      <c r="H30" s="62">
        <v>4.0</v>
      </c>
      <c r="I30" s="209">
        <f t="shared" si="2"/>
        <v>4</v>
      </c>
      <c r="J30" s="62">
        <v>4.0</v>
      </c>
      <c r="K30" s="119">
        <v>4.0</v>
      </c>
      <c r="L30" s="62">
        <v>4.0</v>
      </c>
      <c r="M30" s="62">
        <v>4.0</v>
      </c>
      <c r="N30" s="62">
        <v>4.0</v>
      </c>
      <c r="O30" s="306">
        <f t="shared" si="3"/>
        <v>4</v>
      </c>
      <c r="P30" s="62">
        <v>4.0</v>
      </c>
      <c r="Q30" s="62">
        <v>4.0</v>
      </c>
      <c r="R30" s="62">
        <v>3.0</v>
      </c>
      <c r="S30" s="307">
        <f t="shared" si="4"/>
        <v>3.666666667</v>
      </c>
      <c r="T30" s="62">
        <v>4.0</v>
      </c>
      <c r="U30" s="62">
        <v>4.0</v>
      </c>
      <c r="V30" s="62">
        <v>5.0</v>
      </c>
      <c r="W30" s="308">
        <f t="shared" si="5"/>
        <v>4.333333333</v>
      </c>
      <c r="X30" s="62">
        <v>4.0</v>
      </c>
      <c r="Y30" s="62">
        <v>4.0</v>
      </c>
      <c r="Z30" s="62">
        <v>5.0</v>
      </c>
      <c r="AA30" s="62">
        <v>5.0</v>
      </c>
      <c r="AB30" s="212">
        <f t="shared" si="6"/>
        <v>4.5</v>
      </c>
      <c r="AC30" s="62">
        <v>4.0</v>
      </c>
      <c r="AD30" s="62">
        <v>4.0</v>
      </c>
      <c r="AE30" s="302">
        <v>3.0</v>
      </c>
      <c r="AF30" s="309">
        <f t="shared" si="7"/>
        <v>3.666666667</v>
      </c>
      <c r="AG30" s="63">
        <f t="shared" si="8"/>
        <v>4.016666667</v>
      </c>
    </row>
    <row r="31" ht="15.75" customHeight="1">
      <c r="A31" s="142">
        <v>24.0</v>
      </c>
      <c r="B31" s="304" t="s">
        <v>176</v>
      </c>
      <c r="C31" s="65" t="s">
        <v>44</v>
      </c>
      <c r="D31" s="62">
        <v>5.0</v>
      </c>
      <c r="E31" s="62">
        <v>5.0</v>
      </c>
      <c r="F31" s="305">
        <f t="shared" si="1"/>
        <v>5</v>
      </c>
      <c r="G31" s="62">
        <v>5.0</v>
      </c>
      <c r="H31" s="62">
        <v>5.0</v>
      </c>
      <c r="I31" s="209">
        <f t="shared" si="2"/>
        <v>5</v>
      </c>
      <c r="J31" s="62">
        <v>5.0</v>
      </c>
      <c r="K31" s="62">
        <v>4.0</v>
      </c>
      <c r="L31" s="62">
        <v>5.0</v>
      </c>
      <c r="M31" s="62">
        <v>5.0</v>
      </c>
      <c r="N31" s="62">
        <v>4.0</v>
      </c>
      <c r="O31" s="306">
        <f t="shared" si="3"/>
        <v>4.5</v>
      </c>
      <c r="P31" s="62">
        <v>5.0</v>
      </c>
      <c r="Q31" s="62">
        <v>5.0</v>
      </c>
      <c r="R31" s="62">
        <v>3.0</v>
      </c>
      <c r="S31" s="307">
        <f t="shared" si="4"/>
        <v>4.333333333</v>
      </c>
      <c r="T31" s="62">
        <v>5.0</v>
      </c>
      <c r="U31" s="62">
        <v>5.0</v>
      </c>
      <c r="V31" s="62">
        <v>5.0</v>
      </c>
      <c r="W31" s="308">
        <f t="shared" si="5"/>
        <v>5</v>
      </c>
      <c r="X31" s="62">
        <v>5.0</v>
      </c>
      <c r="Y31" s="62">
        <v>5.0</v>
      </c>
      <c r="Z31" s="62">
        <v>5.0</v>
      </c>
      <c r="AA31" s="62">
        <v>5.0</v>
      </c>
      <c r="AB31" s="212">
        <f t="shared" si="6"/>
        <v>5</v>
      </c>
      <c r="AC31" s="62">
        <v>5.0</v>
      </c>
      <c r="AD31" s="62">
        <v>5.0</v>
      </c>
      <c r="AE31" s="302">
        <v>3.0</v>
      </c>
      <c r="AF31" s="309">
        <f t="shared" si="7"/>
        <v>4.333333333</v>
      </c>
      <c r="AG31" s="63">
        <f t="shared" si="8"/>
        <v>4.716666667</v>
      </c>
    </row>
    <row r="32" ht="15.75" customHeight="1">
      <c r="A32" s="293">
        <v>25.0</v>
      </c>
      <c r="B32" s="304" t="s">
        <v>177</v>
      </c>
      <c r="C32" s="65" t="s">
        <v>45</v>
      </c>
      <c r="D32" s="62">
        <v>5.0</v>
      </c>
      <c r="E32" s="62">
        <v>5.0</v>
      </c>
      <c r="F32" s="305">
        <f t="shared" si="1"/>
        <v>5</v>
      </c>
      <c r="G32" s="62">
        <v>5.0</v>
      </c>
      <c r="H32" s="62">
        <v>5.0</v>
      </c>
      <c r="I32" s="209">
        <f t="shared" si="2"/>
        <v>5</v>
      </c>
      <c r="J32" s="62">
        <v>5.0</v>
      </c>
      <c r="K32" s="119">
        <v>4.0</v>
      </c>
      <c r="L32" s="62">
        <v>5.0</v>
      </c>
      <c r="M32" s="62">
        <v>5.0</v>
      </c>
      <c r="N32" s="62">
        <v>4.0</v>
      </c>
      <c r="O32" s="306">
        <f t="shared" si="3"/>
        <v>4.5</v>
      </c>
      <c r="P32" s="62">
        <v>5.0</v>
      </c>
      <c r="Q32" s="62">
        <v>5.0</v>
      </c>
      <c r="R32" s="119">
        <v>3.0</v>
      </c>
      <c r="S32" s="307">
        <f t="shared" si="4"/>
        <v>4.333333333</v>
      </c>
      <c r="T32" s="62">
        <v>5.0</v>
      </c>
      <c r="U32" s="62">
        <v>5.0</v>
      </c>
      <c r="V32" s="62">
        <v>5.0</v>
      </c>
      <c r="W32" s="308">
        <f t="shared" si="5"/>
        <v>5</v>
      </c>
      <c r="X32" s="62">
        <v>5.0</v>
      </c>
      <c r="Y32" s="62">
        <v>5.0</v>
      </c>
      <c r="Z32" s="62">
        <v>5.0</v>
      </c>
      <c r="AA32" s="62">
        <v>5.0</v>
      </c>
      <c r="AB32" s="212">
        <f t="shared" si="6"/>
        <v>5</v>
      </c>
      <c r="AC32" s="62">
        <v>5.0</v>
      </c>
      <c r="AD32" s="62">
        <v>5.0</v>
      </c>
      <c r="AE32" s="302">
        <v>3.0</v>
      </c>
      <c r="AF32" s="309">
        <f t="shared" si="7"/>
        <v>4.333333333</v>
      </c>
      <c r="AG32" s="63">
        <f t="shared" si="8"/>
        <v>4.716666667</v>
      </c>
    </row>
    <row r="33" ht="15.75" customHeight="1">
      <c r="A33" s="142">
        <v>26.0</v>
      </c>
      <c r="B33" s="304" t="s">
        <v>178</v>
      </c>
      <c r="C33" s="65" t="s">
        <v>45</v>
      </c>
      <c r="D33" s="62">
        <v>5.0</v>
      </c>
      <c r="E33" s="62">
        <v>5.0</v>
      </c>
      <c r="F33" s="305">
        <f t="shared" si="1"/>
        <v>5</v>
      </c>
      <c r="G33" s="62">
        <v>5.0</v>
      </c>
      <c r="H33" s="62">
        <v>5.0</v>
      </c>
      <c r="I33" s="209">
        <f t="shared" si="2"/>
        <v>5</v>
      </c>
      <c r="J33" s="62">
        <v>5.0</v>
      </c>
      <c r="K33" s="62">
        <v>4.0</v>
      </c>
      <c r="L33" s="62">
        <v>5.0</v>
      </c>
      <c r="M33" s="62">
        <v>5.0</v>
      </c>
      <c r="N33" s="62">
        <v>4.0</v>
      </c>
      <c r="O33" s="306">
        <f t="shared" si="3"/>
        <v>4.5</v>
      </c>
      <c r="P33" s="62">
        <v>5.0</v>
      </c>
      <c r="Q33" s="62">
        <v>5.0</v>
      </c>
      <c r="R33" s="62">
        <v>3.0</v>
      </c>
      <c r="S33" s="307">
        <f t="shared" si="4"/>
        <v>4.333333333</v>
      </c>
      <c r="T33" s="62">
        <v>5.0</v>
      </c>
      <c r="U33" s="62">
        <v>5.0</v>
      </c>
      <c r="V33" s="62">
        <v>5.0</v>
      </c>
      <c r="W33" s="308">
        <f t="shared" si="5"/>
        <v>5</v>
      </c>
      <c r="X33" s="62">
        <v>5.0</v>
      </c>
      <c r="Y33" s="62">
        <v>5.0</v>
      </c>
      <c r="Z33" s="119">
        <v>5.0</v>
      </c>
      <c r="AA33" s="62">
        <v>5.0</v>
      </c>
      <c r="AB33" s="212">
        <f t="shared" si="6"/>
        <v>5</v>
      </c>
      <c r="AC33" s="62">
        <v>5.0</v>
      </c>
      <c r="AD33" s="62">
        <v>5.0</v>
      </c>
      <c r="AE33" s="302">
        <v>3.0</v>
      </c>
      <c r="AF33" s="309">
        <f t="shared" si="7"/>
        <v>4.333333333</v>
      </c>
      <c r="AG33" s="63">
        <f t="shared" si="8"/>
        <v>4.716666667</v>
      </c>
    </row>
    <row r="34" ht="15.75" customHeight="1">
      <c r="A34" s="142">
        <v>27.0</v>
      </c>
      <c r="B34" s="304" t="s">
        <v>179</v>
      </c>
      <c r="C34" s="65" t="s">
        <v>45</v>
      </c>
      <c r="D34" s="62">
        <v>5.0</v>
      </c>
      <c r="E34" s="62">
        <v>5.0</v>
      </c>
      <c r="F34" s="305">
        <f t="shared" si="1"/>
        <v>5</v>
      </c>
      <c r="G34" s="62">
        <v>5.0</v>
      </c>
      <c r="H34" s="62">
        <v>5.0</v>
      </c>
      <c r="I34" s="209">
        <f t="shared" si="2"/>
        <v>5</v>
      </c>
      <c r="J34" s="62">
        <v>5.0</v>
      </c>
      <c r="K34" s="119">
        <v>4.0</v>
      </c>
      <c r="L34" s="62">
        <v>5.0</v>
      </c>
      <c r="M34" s="62">
        <v>5.0</v>
      </c>
      <c r="N34" s="62">
        <v>4.0</v>
      </c>
      <c r="O34" s="306">
        <f t="shared" si="3"/>
        <v>4.5</v>
      </c>
      <c r="P34" s="62">
        <v>5.0</v>
      </c>
      <c r="Q34" s="62">
        <v>5.0</v>
      </c>
      <c r="R34" s="62">
        <v>3.0</v>
      </c>
      <c r="S34" s="307">
        <f t="shared" si="4"/>
        <v>4.333333333</v>
      </c>
      <c r="T34" s="62">
        <v>5.0</v>
      </c>
      <c r="U34" s="62">
        <v>5.0</v>
      </c>
      <c r="V34" s="62">
        <v>5.0</v>
      </c>
      <c r="W34" s="308">
        <f t="shared" si="5"/>
        <v>5</v>
      </c>
      <c r="X34" s="62">
        <v>5.0</v>
      </c>
      <c r="Y34" s="62">
        <v>5.0</v>
      </c>
      <c r="Z34" s="62">
        <v>5.0</v>
      </c>
      <c r="AA34" s="62">
        <v>5.0</v>
      </c>
      <c r="AB34" s="212">
        <f t="shared" si="6"/>
        <v>5</v>
      </c>
      <c r="AC34" s="62">
        <v>5.0</v>
      </c>
      <c r="AD34" s="62">
        <v>5.0</v>
      </c>
      <c r="AE34" s="302">
        <v>3.0</v>
      </c>
      <c r="AF34" s="309">
        <f t="shared" si="7"/>
        <v>4.333333333</v>
      </c>
      <c r="AG34" s="63">
        <f t="shared" si="8"/>
        <v>4.716666667</v>
      </c>
    </row>
    <row r="35" ht="15.75" customHeight="1">
      <c r="A35" s="293">
        <v>28.0</v>
      </c>
      <c r="B35" s="304" t="s">
        <v>180</v>
      </c>
      <c r="C35" s="65" t="s">
        <v>45</v>
      </c>
      <c r="D35" s="62">
        <v>5.0</v>
      </c>
      <c r="E35" s="62">
        <v>5.0</v>
      </c>
      <c r="F35" s="305">
        <f t="shared" si="1"/>
        <v>5</v>
      </c>
      <c r="G35" s="62">
        <v>5.0</v>
      </c>
      <c r="H35" s="62">
        <v>6.0</v>
      </c>
      <c r="I35" s="209">
        <f t="shared" si="2"/>
        <v>5.5</v>
      </c>
      <c r="J35" s="62">
        <v>5.0</v>
      </c>
      <c r="K35" s="62">
        <v>4.0</v>
      </c>
      <c r="L35" s="62">
        <v>5.0</v>
      </c>
      <c r="M35" s="62">
        <v>5.0</v>
      </c>
      <c r="N35" s="62">
        <v>4.0</v>
      </c>
      <c r="O35" s="306">
        <f t="shared" si="3"/>
        <v>4.5</v>
      </c>
      <c r="P35" s="62">
        <v>5.0</v>
      </c>
      <c r="Q35" s="62">
        <v>5.0</v>
      </c>
      <c r="R35" s="62">
        <v>3.0</v>
      </c>
      <c r="S35" s="307">
        <f t="shared" si="4"/>
        <v>4.333333333</v>
      </c>
      <c r="T35" s="62">
        <v>5.0</v>
      </c>
      <c r="U35" s="62">
        <v>5.0</v>
      </c>
      <c r="V35" s="62">
        <v>5.0</v>
      </c>
      <c r="W35" s="308">
        <f t="shared" si="5"/>
        <v>5</v>
      </c>
      <c r="X35" s="62">
        <v>5.0</v>
      </c>
      <c r="Y35" s="62">
        <v>5.0</v>
      </c>
      <c r="Z35" s="62">
        <v>5.0</v>
      </c>
      <c r="AA35" s="62">
        <v>5.0</v>
      </c>
      <c r="AB35" s="212">
        <f t="shared" si="6"/>
        <v>5</v>
      </c>
      <c r="AC35" s="62">
        <v>5.0</v>
      </c>
      <c r="AD35" s="62">
        <v>5.0</v>
      </c>
      <c r="AE35" s="302">
        <v>6.0</v>
      </c>
      <c r="AF35" s="309">
        <f t="shared" si="7"/>
        <v>5.333333333</v>
      </c>
      <c r="AG35" s="63">
        <f t="shared" si="8"/>
        <v>4.866666667</v>
      </c>
    </row>
    <row r="36" ht="15.75" customHeight="1">
      <c r="A36" s="293">
        <v>29.0</v>
      </c>
      <c r="B36" s="304" t="s">
        <v>181</v>
      </c>
      <c r="C36" s="65" t="s">
        <v>45</v>
      </c>
      <c r="D36" s="62">
        <v>5.0</v>
      </c>
      <c r="E36" s="62">
        <v>5.0</v>
      </c>
      <c r="F36" s="305">
        <f t="shared" si="1"/>
        <v>5</v>
      </c>
      <c r="G36" s="62">
        <v>5.0</v>
      </c>
      <c r="H36" s="62">
        <v>4.0</v>
      </c>
      <c r="I36" s="209">
        <f t="shared" si="2"/>
        <v>4.5</v>
      </c>
      <c r="J36" s="62">
        <v>5.0</v>
      </c>
      <c r="K36" s="62">
        <v>4.0</v>
      </c>
      <c r="L36" s="62">
        <v>5.0</v>
      </c>
      <c r="M36" s="62">
        <v>5.0</v>
      </c>
      <c r="N36" s="62">
        <v>4.0</v>
      </c>
      <c r="O36" s="306">
        <f t="shared" si="3"/>
        <v>4.5</v>
      </c>
      <c r="P36" s="62">
        <v>5.0</v>
      </c>
      <c r="Q36" s="62">
        <v>5.0</v>
      </c>
      <c r="R36" s="62">
        <v>3.0</v>
      </c>
      <c r="S36" s="307">
        <f t="shared" si="4"/>
        <v>4.333333333</v>
      </c>
      <c r="T36" s="62">
        <v>5.0</v>
      </c>
      <c r="U36" s="62">
        <v>5.0</v>
      </c>
      <c r="V36" s="62">
        <v>5.0</v>
      </c>
      <c r="W36" s="308">
        <f t="shared" si="5"/>
        <v>5</v>
      </c>
      <c r="X36" s="62">
        <v>5.0</v>
      </c>
      <c r="Y36" s="62">
        <v>5.0</v>
      </c>
      <c r="Z36" s="62">
        <v>5.0</v>
      </c>
      <c r="AA36" s="62">
        <v>5.0</v>
      </c>
      <c r="AB36" s="212">
        <f t="shared" si="6"/>
        <v>5</v>
      </c>
      <c r="AC36" s="62">
        <v>5.0</v>
      </c>
      <c r="AD36" s="62">
        <v>5.0</v>
      </c>
      <c r="AE36" s="213">
        <v>3.0</v>
      </c>
      <c r="AF36" s="309">
        <f t="shared" si="7"/>
        <v>4.333333333</v>
      </c>
      <c r="AG36" s="63">
        <f t="shared" si="8"/>
        <v>4.666666667</v>
      </c>
    </row>
    <row r="37" ht="15.75" customHeight="1">
      <c r="A37" s="293">
        <v>30.0</v>
      </c>
      <c r="B37" s="304" t="s">
        <v>182</v>
      </c>
      <c r="C37" s="65" t="s">
        <v>45</v>
      </c>
      <c r="D37" s="62">
        <v>5.0</v>
      </c>
      <c r="E37" s="62">
        <v>5.0</v>
      </c>
      <c r="F37" s="305">
        <f t="shared" si="1"/>
        <v>5</v>
      </c>
      <c r="G37" s="62">
        <v>5.0</v>
      </c>
      <c r="H37" s="62">
        <v>6.0</v>
      </c>
      <c r="I37" s="209">
        <f t="shared" si="2"/>
        <v>5.5</v>
      </c>
      <c r="J37" s="62">
        <v>5.0</v>
      </c>
      <c r="K37" s="62">
        <v>4.0</v>
      </c>
      <c r="L37" s="62">
        <v>5.0</v>
      </c>
      <c r="M37" s="62">
        <v>5.0</v>
      </c>
      <c r="N37" s="62">
        <v>4.0</v>
      </c>
      <c r="O37" s="306">
        <f t="shared" si="3"/>
        <v>4.5</v>
      </c>
      <c r="P37" s="62">
        <v>5.0</v>
      </c>
      <c r="Q37" s="62">
        <v>5.0</v>
      </c>
      <c r="R37" s="62">
        <v>3.0</v>
      </c>
      <c r="S37" s="307">
        <f t="shared" si="4"/>
        <v>4.333333333</v>
      </c>
      <c r="T37" s="62">
        <v>5.0</v>
      </c>
      <c r="U37" s="62">
        <v>5.0</v>
      </c>
      <c r="V37" s="62">
        <v>5.0</v>
      </c>
      <c r="W37" s="308">
        <f t="shared" si="5"/>
        <v>5</v>
      </c>
      <c r="X37" s="62">
        <v>5.0</v>
      </c>
      <c r="Y37" s="62">
        <v>5.0</v>
      </c>
      <c r="Z37" s="62">
        <v>5.0</v>
      </c>
      <c r="AA37" s="62">
        <v>5.0</v>
      </c>
      <c r="AB37" s="212">
        <f t="shared" si="6"/>
        <v>5</v>
      </c>
      <c r="AC37" s="62">
        <v>5.0</v>
      </c>
      <c r="AD37" s="62">
        <v>5.0</v>
      </c>
      <c r="AE37" s="213">
        <v>6.0</v>
      </c>
      <c r="AF37" s="309">
        <f t="shared" si="7"/>
        <v>5.333333333</v>
      </c>
      <c r="AG37" s="63">
        <f t="shared" si="8"/>
        <v>4.866666667</v>
      </c>
    </row>
    <row r="38" ht="15.75" customHeight="1">
      <c r="A38" s="142">
        <v>31.0</v>
      </c>
      <c r="B38" s="304" t="s">
        <v>183</v>
      </c>
      <c r="C38" s="65" t="s">
        <v>45</v>
      </c>
      <c r="D38" s="62"/>
      <c r="E38" s="62"/>
      <c r="F38" s="305">
        <f t="shared" si="1"/>
        <v>0</v>
      </c>
      <c r="G38" s="62"/>
      <c r="H38" s="62"/>
      <c r="I38" s="209">
        <f t="shared" si="2"/>
        <v>0</v>
      </c>
      <c r="J38" s="62"/>
      <c r="K38" s="62"/>
      <c r="L38" s="62"/>
      <c r="M38" s="62"/>
      <c r="N38" s="62"/>
      <c r="O38" s="306">
        <f t="shared" si="3"/>
        <v>0</v>
      </c>
      <c r="P38" s="62"/>
      <c r="Q38" s="62"/>
      <c r="R38" s="62"/>
      <c r="S38" s="307">
        <f t="shared" si="4"/>
        <v>0</v>
      </c>
      <c r="T38" s="62"/>
      <c r="U38" s="62"/>
      <c r="V38" s="62"/>
      <c r="W38" s="308">
        <f t="shared" si="5"/>
        <v>0</v>
      </c>
      <c r="X38" s="62"/>
      <c r="Y38" s="62"/>
      <c r="Z38" s="62"/>
      <c r="AA38" s="62"/>
      <c r="AB38" s="212">
        <f t="shared" si="6"/>
        <v>0</v>
      </c>
      <c r="AC38" s="62"/>
      <c r="AD38" s="62"/>
      <c r="AE38" s="213"/>
      <c r="AF38" s="309">
        <f t="shared" si="7"/>
        <v>0</v>
      </c>
      <c r="AG38" s="63">
        <f t="shared" si="8"/>
        <v>0</v>
      </c>
    </row>
    <row r="39" ht="15.75" customHeight="1">
      <c r="A39" s="142">
        <v>32.0</v>
      </c>
      <c r="B39" s="304" t="s">
        <v>184</v>
      </c>
      <c r="C39" s="65" t="s">
        <v>45</v>
      </c>
      <c r="D39" s="62">
        <v>5.0</v>
      </c>
      <c r="E39" s="62">
        <v>5.0</v>
      </c>
      <c r="F39" s="305">
        <f t="shared" si="1"/>
        <v>5</v>
      </c>
      <c r="G39" s="62">
        <v>5.0</v>
      </c>
      <c r="H39" s="62">
        <v>6.0</v>
      </c>
      <c r="I39" s="209">
        <f t="shared" si="2"/>
        <v>5.5</v>
      </c>
      <c r="J39" s="62">
        <v>5.0</v>
      </c>
      <c r="K39" s="62">
        <v>4.0</v>
      </c>
      <c r="L39" s="62">
        <v>5.0</v>
      </c>
      <c r="M39" s="62">
        <v>5.0</v>
      </c>
      <c r="N39" s="62">
        <v>4.0</v>
      </c>
      <c r="O39" s="306">
        <f t="shared" si="3"/>
        <v>4.5</v>
      </c>
      <c r="P39" s="62">
        <v>5.0</v>
      </c>
      <c r="Q39" s="62">
        <v>5.0</v>
      </c>
      <c r="R39" s="62">
        <v>3.0</v>
      </c>
      <c r="S39" s="307">
        <f t="shared" si="4"/>
        <v>4.333333333</v>
      </c>
      <c r="T39" s="62">
        <v>5.0</v>
      </c>
      <c r="U39" s="62">
        <v>5.0</v>
      </c>
      <c r="V39" s="62">
        <v>5.0</v>
      </c>
      <c r="W39" s="308">
        <f t="shared" si="5"/>
        <v>5</v>
      </c>
      <c r="X39" s="62">
        <v>5.0</v>
      </c>
      <c r="Y39" s="62">
        <v>5.0</v>
      </c>
      <c r="Z39" s="62">
        <v>5.0</v>
      </c>
      <c r="AA39" s="62">
        <v>5.0</v>
      </c>
      <c r="AB39" s="212">
        <f t="shared" si="6"/>
        <v>5</v>
      </c>
      <c r="AC39" s="62">
        <v>5.0</v>
      </c>
      <c r="AD39" s="62">
        <v>5.0</v>
      </c>
      <c r="AE39" s="213">
        <v>6.0</v>
      </c>
      <c r="AF39" s="309">
        <f t="shared" si="7"/>
        <v>5.333333333</v>
      </c>
      <c r="AG39" s="63">
        <f t="shared" si="8"/>
        <v>4.866666667</v>
      </c>
    </row>
    <row r="40" ht="15.75" customHeight="1">
      <c r="A40" s="293">
        <v>33.0</v>
      </c>
      <c r="B40" s="304" t="s">
        <v>185</v>
      </c>
      <c r="C40" s="65" t="s">
        <v>45</v>
      </c>
      <c r="D40" s="62">
        <v>5.0</v>
      </c>
      <c r="E40" s="62">
        <v>5.0</v>
      </c>
      <c r="F40" s="305">
        <f t="shared" si="1"/>
        <v>5</v>
      </c>
      <c r="G40" s="62">
        <v>5.0</v>
      </c>
      <c r="H40" s="62">
        <v>6.0</v>
      </c>
      <c r="I40" s="209">
        <f t="shared" si="2"/>
        <v>5.5</v>
      </c>
      <c r="J40" s="62">
        <v>5.0</v>
      </c>
      <c r="K40" s="62">
        <v>4.0</v>
      </c>
      <c r="L40" s="62">
        <v>5.0</v>
      </c>
      <c r="M40" s="62">
        <v>5.0</v>
      </c>
      <c r="N40" s="62">
        <v>4.0</v>
      </c>
      <c r="O40" s="306">
        <f t="shared" si="3"/>
        <v>4.5</v>
      </c>
      <c r="P40" s="62">
        <v>5.0</v>
      </c>
      <c r="Q40" s="62">
        <v>5.0</v>
      </c>
      <c r="R40" s="62">
        <v>3.0</v>
      </c>
      <c r="S40" s="307">
        <f t="shared" si="4"/>
        <v>4.333333333</v>
      </c>
      <c r="T40" s="62">
        <v>5.0</v>
      </c>
      <c r="U40" s="62">
        <v>5.0</v>
      </c>
      <c r="V40" s="62">
        <v>5.0</v>
      </c>
      <c r="W40" s="308">
        <f t="shared" si="5"/>
        <v>5</v>
      </c>
      <c r="X40" s="62">
        <v>5.0</v>
      </c>
      <c r="Y40" s="62">
        <v>5.0</v>
      </c>
      <c r="Z40" s="62">
        <v>5.0</v>
      </c>
      <c r="AA40" s="62">
        <v>5.0</v>
      </c>
      <c r="AB40" s="212">
        <f t="shared" si="6"/>
        <v>5</v>
      </c>
      <c r="AC40" s="62">
        <v>5.0</v>
      </c>
      <c r="AD40" s="62">
        <v>5.0</v>
      </c>
      <c r="AE40" s="213">
        <v>6.0</v>
      </c>
      <c r="AF40" s="309">
        <f t="shared" si="7"/>
        <v>5.333333333</v>
      </c>
      <c r="AG40" s="63">
        <f t="shared" si="8"/>
        <v>4.866666667</v>
      </c>
    </row>
    <row r="41" ht="15.75" customHeight="1">
      <c r="A41" s="142">
        <v>34.0</v>
      </c>
      <c r="B41" s="304" t="s">
        <v>186</v>
      </c>
      <c r="C41" s="65" t="s">
        <v>45</v>
      </c>
      <c r="D41" s="62">
        <v>5.0</v>
      </c>
      <c r="E41" s="62">
        <v>5.0</v>
      </c>
      <c r="F41" s="305">
        <f t="shared" si="1"/>
        <v>5</v>
      </c>
      <c r="G41" s="62">
        <v>5.0</v>
      </c>
      <c r="H41" s="62">
        <v>6.0</v>
      </c>
      <c r="I41" s="209">
        <f t="shared" si="2"/>
        <v>5.5</v>
      </c>
      <c r="J41" s="62">
        <v>5.0</v>
      </c>
      <c r="K41" s="62">
        <v>4.0</v>
      </c>
      <c r="L41" s="62">
        <v>5.0</v>
      </c>
      <c r="M41" s="62">
        <v>5.0</v>
      </c>
      <c r="N41" s="62">
        <v>4.0</v>
      </c>
      <c r="O41" s="306">
        <f t="shared" si="3"/>
        <v>4.5</v>
      </c>
      <c r="P41" s="62">
        <v>5.0</v>
      </c>
      <c r="Q41" s="62">
        <v>5.0</v>
      </c>
      <c r="R41" s="62">
        <v>3.0</v>
      </c>
      <c r="S41" s="307">
        <f t="shared" si="4"/>
        <v>4.333333333</v>
      </c>
      <c r="T41" s="62">
        <v>5.0</v>
      </c>
      <c r="U41" s="62">
        <v>5.0</v>
      </c>
      <c r="V41" s="62">
        <v>5.0</v>
      </c>
      <c r="W41" s="308">
        <f t="shared" si="5"/>
        <v>5</v>
      </c>
      <c r="X41" s="62">
        <v>5.0</v>
      </c>
      <c r="Y41" s="62">
        <v>5.0</v>
      </c>
      <c r="Z41" s="62">
        <v>5.0</v>
      </c>
      <c r="AA41" s="62">
        <v>5.0</v>
      </c>
      <c r="AB41" s="212">
        <f t="shared" si="6"/>
        <v>5</v>
      </c>
      <c r="AC41" s="62">
        <v>5.0</v>
      </c>
      <c r="AD41" s="62">
        <v>5.0</v>
      </c>
      <c r="AE41" s="213">
        <v>5.0</v>
      </c>
      <c r="AF41" s="309">
        <f t="shared" si="7"/>
        <v>5</v>
      </c>
      <c r="AG41" s="63">
        <f t="shared" si="8"/>
        <v>4.833333333</v>
      </c>
    </row>
    <row r="42" ht="15.75" customHeight="1">
      <c r="A42" s="142">
        <v>35.0</v>
      </c>
      <c r="B42" s="304" t="s">
        <v>187</v>
      </c>
      <c r="C42" s="65" t="s">
        <v>45</v>
      </c>
      <c r="D42" s="62">
        <v>4.0</v>
      </c>
      <c r="E42" s="62">
        <v>4.0</v>
      </c>
      <c r="F42" s="305">
        <f t="shared" si="1"/>
        <v>4</v>
      </c>
      <c r="G42" s="62">
        <v>4.0</v>
      </c>
      <c r="H42" s="62">
        <v>4.0</v>
      </c>
      <c r="I42" s="209">
        <f t="shared" si="2"/>
        <v>4</v>
      </c>
      <c r="J42" s="62">
        <v>4.0</v>
      </c>
      <c r="K42" s="62">
        <v>4.0</v>
      </c>
      <c r="L42" s="62">
        <v>4.0</v>
      </c>
      <c r="M42" s="62">
        <v>4.0</v>
      </c>
      <c r="N42" s="62">
        <v>4.0</v>
      </c>
      <c r="O42" s="306">
        <f t="shared" si="3"/>
        <v>4</v>
      </c>
      <c r="P42" s="62">
        <v>4.0</v>
      </c>
      <c r="Q42" s="62">
        <v>4.0</v>
      </c>
      <c r="R42" s="62">
        <v>3.0</v>
      </c>
      <c r="S42" s="307">
        <f t="shared" si="4"/>
        <v>3.666666667</v>
      </c>
      <c r="T42" s="62">
        <v>4.0</v>
      </c>
      <c r="U42" s="62">
        <v>4.0</v>
      </c>
      <c r="V42" s="62">
        <v>5.0</v>
      </c>
      <c r="W42" s="308">
        <f t="shared" si="5"/>
        <v>4.333333333</v>
      </c>
      <c r="X42" s="62">
        <v>4.0</v>
      </c>
      <c r="Y42" s="62">
        <v>4.0</v>
      </c>
      <c r="Z42" s="62">
        <v>5.0</v>
      </c>
      <c r="AA42" s="62">
        <v>5.0</v>
      </c>
      <c r="AB42" s="212">
        <f t="shared" si="6"/>
        <v>4.5</v>
      </c>
      <c r="AC42" s="62">
        <v>4.0</v>
      </c>
      <c r="AD42" s="62">
        <v>4.0</v>
      </c>
      <c r="AE42" s="213">
        <v>3.0</v>
      </c>
      <c r="AF42" s="309">
        <f t="shared" si="7"/>
        <v>3.666666667</v>
      </c>
      <c r="AG42" s="63">
        <f t="shared" si="8"/>
        <v>4.016666667</v>
      </c>
    </row>
    <row r="43" ht="15.75" customHeight="1">
      <c r="A43" s="293">
        <v>36.0</v>
      </c>
      <c r="B43" s="304" t="s">
        <v>188</v>
      </c>
      <c r="C43" s="65" t="s">
        <v>45</v>
      </c>
      <c r="D43" s="62">
        <v>5.0</v>
      </c>
      <c r="E43" s="62">
        <v>5.0</v>
      </c>
      <c r="F43" s="305">
        <f t="shared" si="1"/>
        <v>5</v>
      </c>
      <c r="G43" s="62">
        <v>5.0</v>
      </c>
      <c r="H43" s="62">
        <v>6.0</v>
      </c>
      <c r="I43" s="209">
        <f t="shared" si="2"/>
        <v>5.5</v>
      </c>
      <c r="J43" s="62">
        <v>5.0</v>
      </c>
      <c r="K43" s="62">
        <v>4.0</v>
      </c>
      <c r="L43" s="62">
        <v>5.0</v>
      </c>
      <c r="M43" s="62">
        <v>5.0</v>
      </c>
      <c r="N43" s="62">
        <v>4.0</v>
      </c>
      <c r="O43" s="306">
        <f t="shared" si="3"/>
        <v>4.5</v>
      </c>
      <c r="P43" s="62">
        <v>5.0</v>
      </c>
      <c r="Q43" s="62">
        <v>5.0</v>
      </c>
      <c r="R43" s="62">
        <v>3.0</v>
      </c>
      <c r="S43" s="307">
        <f t="shared" si="4"/>
        <v>4.333333333</v>
      </c>
      <c r="T43" s="62">
        <v>5.0</v>
      </c>
      <c r="U43" s="62">
        <v>5.0</v>
      </c>
      <c r="V43" s="62">
        <v>5.0</v>
      </c>
      <c r="W43" s="308">
        <f t="shared" si="5"/>
        <v>5</v>
      </c>
      <c r="X43" s="62">
        <v>5.0</v>
      </c>
      <c r="Y43" s="62">
        <v>5.0</v>
      </c>
      <c r="Z43" s="62">
        <v>5.0</v>
      </c>
      <c r="AA43" s="62">
        <v>5.0</v>
      </c>
      <c r="AB43" s="212">
        <f t="shared" si="6"/>
        <v>5</v>
      </c>
      <c r="AC43" s="62">
        <v>5.0</v>
      </c>
      <c r="AD43" s="62">
        <v>5.0</v>
      </c>
      <c r="AE43" s="213">
        <v>5.0</v>
      </c>
      <c r="AF43" s="309">
        <f t="shared" si="7"/>
        <v>5</v>
      </c>
      <c r="AG43" s="63">
        <f t="shared" si="8"/>
        <v>4.833333333</v>
      </c>
    </row>
    <row r="44" ht="15.75" customHeight="1">
      <c r="A44" s="142">
        <v>37.0</v>
      </c>
      <c r="B44" s="304" t="s">
        <v>189</v>
      </c>
      <c r="C44" s="253" t="s">
        <v>45</v>
      </c>
      <c r="D44" s="62"/>
      <c r="E44" s="62"/>
      <c r="F44" s="305">
        <f t="shared" si="1"/>
        <v>0</v>
      </c>
      <c r="G44" s="62"/>
      <c r="H44" s="62"/>
      <c r="I44" s="209">
        <f t="shared" si="2"/>
        <v>0</v>
      </c>
      <c r="J44" s="62"/>
      <c r="K44" s="62"/>
      <c r="L44" s="62"/>
      <c r="M44" s="62"/>
      <c r="N44" s="62"/>
      <c r="O44" s="306">
        <f t="shared" si="3"/>
        <v>0</v>
      </c>
      <c r="P44" s="62"/>
      <c r="Q44" s="62"/>
      <c r="R44" s="62"/>
      <c r="S44" s="307">
        <f t="shared" si="4"/>
        <v>0</v>
      </c>
      <c r="T44" s="62"/>
      <c r="U44" s="62"/>
      <c r="V44" s="62"/>
      <c r="W44" s="308">
        <f t="shared" si="5"/>
        <v>0</v>
      </c>
      <c r="X44" s="62"/>
      <c r="Y44" s="62"/>
      <c r="Z44" s="62"/>
      <c r="AA44" s="62"/>
      <c r="AB44" s="212">
        <f t="shared" si="6"/>
        <v>0</v>
      </c>
      <c r="AC44" s="62"/>
      <c r="AD44" s="62"/>
      <c r="AE44" s="213"/>
      <c r="AF44" s="309">
        <f t="shared" si="7"/>
        <v>0</v>
      </c>
      <c r="AG44" s="63">
        <f t="shared" si="8"/>
        <v>0</v>
      </c>
    </row>
    <row r="45" ht="15.75" customHeight="1">
      <c r="A45" s="310">
        <v>38.0</v>
      </c>
      <c r="B45" s="294" t="s">
        <v>190</v>
      </c>
      <c r="C45" s="88" t="s">
        <v>45</v>
      </c>
      <c r="D45" s="62">
        <v>3.0</v>
      </c>
      <c r="E45" s="62">
        <v>3.0</v>
      </c>
      <c r="F45" s="305">
        <f t="shared" si="1"/>
        <v>3</v>
      </c>
      <c r="G45" s="62">
        <v>3.0</v>
      </c>
      <c r="H45" s="62">
        <v>3.0</v>
      </c>
      <c r="I45" s="209">
        <f t="shared" si="2"/>
        <v>3</v>
      </c>
      <c r="J45" s="62">
        <v>3.0</v>
      </c>
      <c r="K45" s="62">
        <v>4.0</v>
      </c>
      <c r="L45" s="62">
        <v>3.0</v>
      </c>
      <c r="M45" s="62">
        <v>3.0</v>
      </c>
      <c r="N45" s="62">
        <v>4.0</v>
      </c>
      <c r="O45" s="306">
        <f t="shared" si="3"/>
        <v>3.5</v>
      </c>
      <c r="P45" s="62">
        <v>3.0</v>
      </c>
      <c r="Q45" s="62">
        <v>3.0</v>
      </c>
      <c r="R45" s="62">
        <v>3.0</v>
      </c>
      <c r="S45" s="307">
        <f t="shared" si="4"/>
        <v>3</v>
      </c>
      <c r="T45" s="62">
        <v>3.0</v>
      </c>
      <c r="U45" s="62">
        <v>3.0</v>
      </c>
      <c r="V45" s="62">
        <v>5.0</v>
      </c>
      <c r="W45" s="308">
        <f t="shared" si="5"/>
        <v>3.666666667</v>
      </c>
      <c r="X45" s="62">
        <v>3.0</v>
      </c>
      <c r="Y45" s="62">
        <v>3.0</v>
      </c>
      <c r="Z45" s="62">
        <v>5.0</v>
      </c>
      <c r="AA45" s="62">
        <v>5.0</v>
      </c>
      <c r="AB45" s="212">
        <f t="shared" si="6"/>
        <v>4</v>
      </c>
      <c r="AC45" s="62">
        <v>3.0</v>
      </c>
      <c r="AD45" s="62">
        <v>3.0</v>
      </c>
      <c r="AE45" s="213">
        <v>3.0</v>
      </c>
      <c r="AF45" s="309">
        <f t="shared" si="7"/>
        <v>3</v>
      </c>
      <c r="AG45" s="63">
        <f t="shared" si="8"/>
        <v>3.316666667</v>
      </c>
    </row>
    <row r="46" ht="15.75" customHeight="1">
      <c r="A46" s="310">
        <v>39.0</v>
      </c>
      <c r="B46" s="294" t="s">
        <v>191</v>
      </c>
      <c r="C46" s="88" t="s">
        <v>44</v>
      </c>
      <c r="D46" s="62">
        <v>5.0</v>
      </c>
      <c r="E46" s="62">
        <v>5.0</v>
      </c>
      <c r="F46" s="305">
        <f t="shared" si="1"/>
        <v>5</v>
      </c>
      <c r="G46" s="62">
        <v>5.0</v>
      </c>
      <c r="H46" s="62">
        <v>6.0</v>
      </c>
      <c r="I46" s="209">
        <f t="shared" si="2"/>
        <v>5.5</v>
      </c>
      <c r="J46" s="62">
        <v>5.0</v>
      </c>
      <c r="K46" s="62">
        <v>4.0</v>
      </c>
      <c r="L46" s="62">
        <v>5.0</v>
      </c>
      <c r="M46" s="62">
        <v>5.0</v>
      </c>
      <c r="N46" s="62">
        <v>4.0</v>
      </c>
      <c r="O46" s="306">
        <f t="shared" si="3"/>
        <v>4.5</v>
      </c>
      <c r="P46" s="62">
        <v>5.0</v>
      </c>
      <c r="Q46" s="62">
        <v>5.0</v>
      </c>
      <c r="R46" s="62">
        <v>3.0</v>
      </c>
      <c r="S46" s="307">
        <f t="shared" si="4"/>
        <v>4.333333333</v>
      </c>
      <c r="T46" s="62">
        <v>5.0</v>
      </c>
      <c r="U46" s="62">
        <v>5.0</v>
      </c>
      <c r="V46" s="62">
        <v>5.0</v>
      </c>
      <c r="W46" s="308">
        <f t="shared" si="5"/>
        <v>5</v>
      </c>
      <c r="X46" s="62">
        <v>5.0</v>
      </c>
      <c r="Y46" s="62">
        <v>5.0</v>
      </c>
      <c r="Z46" s="62">
        <v>5.0</v>
      </c>
      <c r="AA46" s="62">
        <v>5.0</v>
      </c>
      <c r="AB46" s="212">
        <f t="shared" si="6"/>
        <v>5</v>
      </c>
      <c r="AC46" s="62">
        <v>5.0</v>
      </c>
      <c r="AD46" s="62">
        <v>5.0</v>
      </c>
      <c r="AE46" s="213">
        <v>5.0</v>
      </c>
      <c r="AF46" s="309">
        <f t="shared" si="7"/>
        <v>5</v>
      </c>
      <c r="AG46" s="63">
        <f t="shared" si="8"/>
        <v>4.833333333</v>
      </c>
    </row>
    <row r="47" ht="15.75" customHeight="1">
      <c r="A47" s="310">
        <v>40.0</v>
      </c>
      <c r="B47" s="87" t="s">
        <v>192</v>
      </c>
      <c r="C47" s="88" t="s">
        <v>45</v>
      </c>
      <c r="D47" s="62">
        <v>5.0</v>
      </c>
      <c r="E47" s="62">
        <v>5.0</v>
      </c>
      <c r="F47" s="305">
        <f t="shared" si="1"/>
        <v>5</v>
      </c>
      <c r="G47" s="62">
        <v>5.0</v>
      </c>
      <c r="H47" s="62">
        <v>5.0</v>
      </c>
      <c r="I47" s="209">
        <f t="shared" si="2"/>
        <v>5</v>
      </c>
      <c r="J47" s="62">
        <v>5.0</v>
      </c>
      <c r="K47" s="62">
        <v>4.0</v>
      </c>
      <c r="L47" s="62">
        <v>5.0</v>
      </c>
      <c r="M47" s="62">
        <v>5.0</v>
      </c>
      <c r="N47" s="62">
        <v>4.0</v>
      </c>
      <c r="O47" s="306">
        <f t="shared" si="3"/>
        <v>4.5</v>
      </c>
      <c r="P47" s="62">
        <v>5.0</v>
      </c>
      <c r="Q47" s="62">
        <v>5.0</v>
      </c>
      <c r="R47" s="62">
        <v>3.0</v>
      </c>
      <c r="S47" s="307">
        <f t="shared" si="4"/>
        <v>4.333333333</v>
      </c>
      <c r="T47" s="62">
        <v>5.0</v>
      </c>
      <c r="U47" s="62">
        <v>5.0</v>
      </c>
      <c r="V47" s="62">
        <v>5.0</v>
      </c>
      <c r="W47" s="308">
        <f t="shared" si="5"/>
        <v>5</v>
      </c>
      <c r="X47" s="62">
        <v>5.0</v>
      </c>
      <c r="Y47" s="62">
        <v>5.0</v>
      </c>
      <c r="Z47" s="62">
        <v>5.0</v>
      </c>
      <c r="AA47" s="62">
        <v>5.0</v>
      </c>
      <c r="AB47" s="212">
        <f t="shared" si="6"/>
        <v>5</v>
      </c>
      <c r="AC47" s="62">
        <v>5.0</v>
      </c>
      <c r="AD47" s="62">
        <v>5.0</v>
      </c>
      <c r="AE47" s="213">
        <v>5.0</v>
      </c>
      <c r="AF47" s="309">
        <f t="shared" si="7"/>
        <v>5</v>
      </c>
      <c r="AG47" s="63">
        <f t="shared" si="8"/>
        <v>4.783333333</v>
      </c>
    </row>
    <row r="48" ht="15.75" customHeight="1">
      <c r="C48" s="91"/>
    </row>
    <row r="49" ht="15.75" customHeight="1">
      <c r="C49" s="91"/>
    </row>
    <row r="50" ht="15.75" customHeight="1">
      <c r="C50" s="91"/>
    </row>
    <row r="51" ht="15.75" customHeight="1">
      <c r="C51" s="91"/>
    </row>
    <row r="52" ht="15.75" customHeight="1">
      <c r="C52" s="91"/>
    </row>
    <row r="53" ht="15.75" customHeight="1">
      <c r="C53" s="91"/>
    </row>
    <row r="54" ht="15.75" customHeight="1">
      <c r="C54" s="91"/>
    </row>
    <row r="55" ht="15.75" customHeight="1">
      <c r="C55" s="91"/>
    </row>
    <row r="56" ht="15.75" customHeight="1">
      <c r="C56" s="91"/>
    </row>
    <row r="57" ht="15.75" customHeight="1">
      <c r="C57" s="91"/>
    </row>
    <row r="58" ht="15.75" customHeight="1">
      <c r="C58" s="91"/>
    </row>
    <row r="59" ht="15.75" customHeight="1">
      <c r="C59" s="91"/>
    </row>
    <row r="60" ht="15.75" customHeight="1">
      <c r="C60" s="91"/>
    </row>
    <row r="61" ht="15.75" customHeight="1">
      <c r="C61" s="91"/>
    </row>
    <row r="62" ht="15.75" customHeight="1">
      <c r="C62" s="91"/>
    </row>
    <row r="63" ht="15.75" customHeight="1">
      <c r="C63" s="91"/>
    </row>
    <row r="64" ht="15.75" customHeight="1">
      <c r="C64" s="91"/>
    </row>
    <row r="65" ht="15.75" customHeight="1">
      <c r="C65" s="91"/>
    </row>
    <row r="66" ht="15.75" customHeight="1">
      <c r="C66" s="91"/>
    </row>
    <row r="67" ht="15.75" customHeight="1">
      <c r="C67" s="91"/>
    </row>
    <row r="68" ht="15.75" customHeight="1">
      <c r="C68" s="91"/>
    </row>
    <row r="69" ht="15.75" customHeight="1">
      <c r="C69" s="91"/>
    </row>
    <row r="70" ht="15.75" customHeight="1">
      <c r="C70" s="91"/>
    </row>
    <row r="71" ht="15.75" customHeight="1">
      <c r="C71" s="91"/>
    </row>
    <row r="72" ht="15.75" customHeight="1">
      <c r="C72" s="91"/>
    </row>
    <row r="73" ht="15.75" customHeight="1">
      <c r="C73" s="91"/>
    </row>
    <row r="74" ht="15.75" customHeight="1">
      <c r="C74" s="91"/>
    </row>
    <row r="75" ht="15.75" customHeight="1">
      <c r="C75" s="91"/>
    </row>
    <row r="76" ht="15.75" customHeight="1">
      <c r="C76" s="91"/>
    </row>
    <row r="77" ht="15.75" customHeight="1">
      <c r="C77" s="91"/>
    </row>
    <row r="78" ht="15.75" customHeight="1">
      <c r="C78" s="91"/>
    </row>
    <row r="79" ht="15.75" customHeight="1">
      <c r="C79" s="91"/>
    </row>
    <row r="80" ht="15.75" customHeight="1">
      <c r="C80" s="91"/>
    </row>
    <row r="81" ht="15.75" customHeight="1">
      <c r="C81" s="91"/>
    </row>
    <row r="82" ht="15.75" customHeight="1">
      <c r="C82" s="91"/>
    </row>
    <row r="83" ht="15.75" customHeight="1">
      <c r="C83" s="91"/>
    </row>
    <row r="84" ht="15.75" customHeight="1">
      <c r="C84" s="91"/>
    </row>
    <row r="85" ht="15.75" customHeight="1">
      <c r="C85" s="91"/>
    </row>
    <row r="86" ht="15.75" customHeight="1">
      <c r="C86" s="91"/>
    </row>
    <row r="87" ht="15.75" customHeight="1">
      <c r="C87" s="91"/>
    </row>
    <row r="88" ht="15.75" customHeight="1">
      <c r="C88" s="91"/>
    </row>
    <row r="89" ht="15.75" customHeight="1">
      <c r="C89" s="91"/>
    </row>
    <row r="90" ht="15.75" customHeight="1">
      <c r="C90" s="91"/>
    </row>
    <row r="91" ht="15.75" customHeight="1">
      <c r="C91" s="91"/>
    </row>
    <row r="92" ht="15.75" customHeight="1">
      <c r="C92" s="91"/>
    </row>
    <row r="93" ht="15.75" customHeight="1">
      <c r="C93" s="91"/>
    </row>
    <row r="94" ht="15.75" customHeight="1">
      <c r="C94" s="91"/>
    </row>
    <row r="95" ht="15.75" customHeight="1">
      <c r="C95" s="91"/>
    </row>
    <row r="96" ht="15.75" customHeight="1">
      <c r="C96" s="91"/>
    </row>
    <row r="97" ht="15.75" customHeight="1">
      <c r="C97" s="91"/>
    </row>
    <row r="98" ht="15.75" customHeight="1">
      <c r="C98" s="91"/>
    </row>
    <row r="99" ht="15.75" customHeight="1">
      <c r="C99" s="91"/>
    </row>
    <row r="100" ht="15.75" customHeight="1">
      <c r="C100" s="91"/>
    </row>
    <row r="101" ht="15.75" customHeight="1">
      <c r="C101" s="91"/>
    </row>
    <row r="102" ht="15.75" customHeight="1">
      <c r="C102" s="91"/>
    </row>
    <row r="103" ht="15.75" customHeight="1">
      <c r="C103" s="91"/>
    </row>
    <row r="104" ht="15.75" customHeight="1">
      <c r="C104" s="91"/>
    </row>
    <row r="105" ht="15.75" customHeight="1">
      <c r="C105" s="91"/>
    </row>
    <row r="106" ht="15.75" customHeight="1">
      <c r="C106" s="91"/>
    </row>
    <row r="107" ht="15.75" customHeight="1">
      <c r="C107" s="91"/>
    </row>
    <row r="108" ht="15.75" customHeight="1">
      <c r="C108" s="91"/>
    </row>
    <row r="109" ht="15.75" customHeight="1">
      <c r="C109" s="91"/>
    </row>
    <row r="110" ht="15.75" customHeight="1">
      <c r="C110" s="91"/>
    </row>
    <row r="111" ht="15.75" customHeight="1">
      <c r="C111" s="91"/>
    </row>
    <row r="112" ht="15.75" customHeight="1">
      <c r="C112" s="91"/>
    </row>
    <row r="113" ht="15.75" customHeight="1">
      <c r="C113" s="91"/>
    </row>
    <row r="114" ht="15.75" customHeight="1">
      <c r="C114" s="91"/>
    </row>
    <row r="115" ht="15.75" customHeight="1">
      <c r="C115" s="91"/>
    </row>
    <row r="116" ht="15.75" customHeight="1">
      <c r="C116" s="91"/>
    </row>
    <row r="117" ht="15.75" customHeight="1">
      <c r="C117" s="91"/>
    </row>
    <row r="118" ht="15.75" customHeight="1">
      <c r="C118" s="91"/>
    </row>
    <row r="119" ht="15.75" customHeight="1">
      <c r="C119" s="91"/>
    </row>
    <row r="120" ht="15.75" customHeight="1">
      <c r="C120" s="91"/>
    </row>
    <row r="121" ht="15.75" customHeight="1">
      <c r="C121" s="91"/>
    </row>
    <row r="122" ht="15.75" customHeight="1">
      <c r="C122" s="91"/>
    </row>
    <row r="123" ht="15.75" customHeight="1">
      <c r="C123" s="91"/>
    </row>
    <row r="124" ht="15.75" customHeight="1">
      <c r="C124" s="91"/>
    </row>
    <row r="125" ht="15.75" customHeight="1">
      <c r="C125" s="91"/>
    </row>
    <row r="126" ht="15.75" customHeight="1">
      <c r="C126" s="91"/>
    </row>
    <row r="127" ht="15.75" customHeight="1">
      <c r="C127" s="91"/>
    </row>
    <row r="128" ht="15.75" customHeight="1">
      <c r="C128" s="91"/>
    </row>
    <row r="129" ht="15.75" customHeight="1">
      <c r="C129" s="91"/>
    </row>
    <row r="130" ht="15.75" customHeight="1">
      <c r="C130" s="91"/>
    </row>
    <row r="131" ht="15.75" customHeight="1">
      <c r="C131" s="91"/>
    </row>
    <row r="132" ht="15.75" customHeight="1">
      <c r="C132" s="91"/>
    </row>
    <row r="133" ht="15.75" customHeight="1">
      <c r="C133" s="91"/>
    </row>
    <row r="134" ht="15.75" customHeight="1">
      <c r="C134" s="91"/>
    </row>
    <row r="135" ht="15.75" customHeight="1">
      <c r="C135" s="91"/>
    </row>
    <row r="136" ht="15.75" customHeight="1">
      <c r="C136" s="91"/>
    </row>
    <row r="137" ht="15.75" customHeight="1">
      <c r="C137" s="91"/>
    </row>
    <row r="138" ht="15.75" customHeight="1">
      <c r="C138" s="91"/>
    </row>
    <row r="139" ht="15.75" customHeight="1">
      <c r="C139" s="91"/>
    </row>
    <row r="140" ht="15.75" customHeight="1">
      <c r="C140" s="91"/>
    </row>
    <row r="141" ht="15.75" customHeight="1">
      <c r="C141" s="91"/>
    </row>
    <row r="142" ht="15.75" customHeight="1">
      <c r="C142" s="91"/>
    </row>
    <row r="143" ht="15.75" customHeight="1">
      <c r="C143" s="91"/>
    </row>
    <row r="144" ht="15.75" customHeight="1">
      <c r="C144" s="91"/>
    </row>
    <row r="145" ht="15.75" customHeight="1">
      <c r="C145" s="91"/>
    </row>
    <row r="146" ht="15.75" customHeight="1">
      <c r="C146" s="91"/>
    </row>
    <row r="147" ht="15.75" customHeight="1">
      <c r="C147" s="91"/>
    </row>
    <row r="148" ht="15.75" customHeight="1">
      <c r="C148" s="91"/>
    </row>
    <row r="149" ht="15.75" customHeight="1">
      <c r="C149" s="91"/>
    </row>
    <row r="150" ht="15.75" customHeight="1">
      <c r="C150" s="91"/>
    </row>
    <row r="151" ht="15.75" customHeight="1">
      <c r="C151" s="91"/>
    </row>
    <row r="152" ht="15.75" customHeight="1">
      <c r="C152" s="91"/>
    </row>
    <row r="153" ht="15.75" customHeight="1">
      <c r="C153" s="91"/>
    </row>
    <row r="154" ht="15.75" customHeight="1">
      <c r="C154" s="91"/>
    </row>
    <row r="155" ht="15.75" customHeight="1">
      <c r="C155" s="91"/>
    </row>
    <row r="156" ht="15.75" customHeight="1">
      <c r="C156" s="91"/>
    </row>
    <row r="157" ht="15.75" customHeight="1">
      <c r="C157" s="91"/>
    </row>
    <row r="158" ht="15.75" customHeight="1">
      <c r="C158" s="91"/>
    </row>
    <row r="159" ht="15.75" customHeight="1">
      <c r="C159" s="91"/>
    </row>
    <row r="160" ht="15.75" customHeight="1">
      <c r="C160" s="91"/>
    </row>
    <row r="161" ht="15.75" customHeight="1">
      <c r="C161" s="91"/>
    </row>
    <row r="162" ht="15.75" customHeight="1">
      <c r="C162" s="91"/>
    </row>
    <row r="163" ht="15.75" customHeight="1">
      <c r="C163" s="91"/>
    </row>
    <row r="164" ht="15.75" customHeight="1">
      <c r="C164" s="91"/>
    </row>
    <row r="165" ht="15.75" customHeight="1">
      <c r="C165" s="91"/>
    </row>
    <row r="166" ht="15.75" customHeight="1">
      <c r="C166" s="91"/>
    </row>
    <row r="167" ht="15.75" customHeight="1">
      <c r="C167" s="91"/>
    </row>
    <row r="168" ht="15.75" customHeight="1">
      <c r="C168" s="91"/>
    </row>
    <row r="169" ht="15.75" customHeight="1">
      <c r="C169" s="91"/>
    </row>
    <row r="170" ht="15.75" customHeight="1">
      <c r="C170" s="91"/>
    </row>
    <row r="171" ht="15.75" customHeight="1">
      <c r="C171" s="91"/>
    </row>
    <row r="172" ht="15.75" customHeight="1">
      <c r="C172" s="91"/>
    </row>
    <row r="173" ht="15.75" customHeight="1">
      <c r="C173" s="91"/>
    </row>
    <row r="174" ht="15.75" customHeight="1">
      <c r="C174" s="91"/>
    </row>
    <row r="175" ht="15.75" customHeight="1">
      <c r="C175" s="91"/>
    </row>
    <row r="176" ht="15.75" customHeight="1">
      <c r="C176" s="91"/>
    </row>
    <row r="177" ht="15.75" customHeight="1">
      <c r="C177" s="91"/>
    </row>
    <row r="178" ht="15.75" customHeight="1">
      <c r="C178" s="91"/>
    </row>
    <row r="179" ht="15.75" customHeight="1">
      <c r="C179" s="91"/>
    </row>
    <row r="180" ht="15.75" customHeight="1">
      <c r="C180" s="91"/>
    </row>
    <row r="181" ht="15.75" customHeight="1">
      <c r="C181" s="91"/>
    </row>
    <row r="182" ht="15.75" customHeight="1">
      <c r="C182" s="91"/>
    </row>
    <row r="183" ht="15.75" customHeight="1">
      <c r="C183" s="91"/>
    </row>
    <row r="184" ht="15.75" customHeight="1">
      <c r="C184" s="91"/>
    </row>
    <row r="185" ht="15.75" customHeight="1">
      <c r="C185" s="91"/>
    </row>
    <row r="186" ht="15.75" customHeight="1">
      <c r="C186" s="91"/>
    </row>
    <row r="187" ht="15.75" customHeight="1">
      <c r="C187" s="91"/>
    </row>
    <row r="188" ht="15.75" customHeight="1">
      <c r="C188" s="91"/>
    </row>
    <row r="189" ht="15.75" customHeight="1">
      <c r="C189" s="91"/>
    </row>
    <row r="190" ht="15.75" customHeight="1">
      <c r="C190" s="91"/>
    </row>
    <row r="191" ht="15.75" customHeight="1">
      <c r="C191" s="91"/>
    </row>
    <row r="192" ht="15.75" customHeight="1">
      <c r="C192" s="91"/>
    </row>
    <row r="193" ht="15.75" customHeight="1">
      <c r="C193" s="91"/>
    </row>
    <row r="194" ht="15.75" customHeight="1">
      <c r="C194" s="91"/>
    </row>
    <row r="195" ht="15.75" customHeight="1">
      <c r="C195" s="91"/>
    </row>
    <row r="196" ht="15.75" customHeight="1">
      <c r="C196" s="91"/>
    </row>
    <row r="197" ht="15.75" customHeight="1">
      <c r="C197" s="91"/>
    </row>
    <row r="198" ht="15.75" customHeight="1">
      <c r="C198" s="91"/>
    </row>
    <row r="199" ht="15.75" customHeight="1">
      <c r="C199" s="91"/>
    </row>
    <row r="200" ht="15.75" customHeight="1">
      <c r="C200" s="91"/>
    </row>
    <row r="201" ht="15.75" customHeight="1">
      <c r="C201" s="91"/>
    </row>
    <row r="202" ht="15.75" customHeight="1">
      <c r="C202" s="91"/>
    </row>
    <row r="203" ht="15.75" customHeight="1">
      <c r="C203" s="91"/>
    </row>
    <row r="204" ht="15.75" customHeight="1">
      <c r="C204" s="91"/>
    </row>
    <row r="205" ht="15.75" customHeight="1">
      <c r="C205" s="91"/>
    </row>
    <row r="206" ht="15.75" customHeight="1">
      <c r="C206" s="91"/>
    </row>
    <row r="207" ht="15.75" customHeight="1">
      <c r="C207" s="91"/>
    </row>
    <row r="208" ht="15.75" customHeight="1">
      <c r="C208" s="91"/>
    </row>
    <row r="209" ht="15.75" customHeight="1">
      <c r="C209" s="91"/>
    </row>
    <row r="210" ht="15.75" customHeight="1">
      <c r="C210" s="91"/>
    </row>
    <row r="211" ht="15.75" customHeight="1">
      <c r="C211" s="91"/>
    </row>
    <row r="212" ht="15.75" customHeight="1">
      <c r="C212" s="91"/>
    </row>
    <row r="213" ht="15.75" customHeight="1">
      <c r="C213" s="91"/>
    </row>
    <row r="214" ht="15.75" customHeight="1">
      <c r="C214" s="91"/>
    </row>
    <row r="215" ht="15.75" customHeight="1">
      <c r="C215" s="91"/>
    </row>
    <row r="216" ht="15.75" customHeight="1">
      <c r="C216" s="91"/>
    </row>
    <row r="217" ht="15.75" customHeight="1">
      <c r="C217" s="91"/>
    </row>
    <row r="218" ht="15.75" customHeight="1">
      <c r="C218" s="91"/>
    </row>
    <row r="219" ht="15.75" customHeight="1">
      <c r="C219" s="91"/>
    </row>
    <row r="220" ht="15.75" customHeight="1">
      <c r="C220" s="91"/>
    </row>
    <row r="221" ht="15.75" customHeight="1">
      <c r="C221" s="91"/>
    </row>
    <row r="222" ht="15.75" customHeight="1">
      <c r="C222" s="91"/>
    </row>
    <row r="223" ht="15.75" customHeight="1">
      <c r="C223" s="91"/>
    </row>
    <row r="224" ht="15.75" customHeight="1">
      <c r="C224" s="91"/>
    </row>
    <row r="225" ht="15.75" customHeight="1">
      <c r="C225" s="91"/>
    </row>
    <row r="226" ht="15.75" customHeight="1">
      <c r="C226" s="91"/>
    </row>
    <row r="227" ht="15.75" customHeight="1">
      <c r="C227" s="91"/>
    </row>
    <row r="228" ht="15.75" customHeight="1">
      <c r="C228" s="91"/>
    </row>
    <row r="229" ht="15.75" customHeight="1">
      <c r="C229" s="91"/>
    </row>
    <row r="230" ht="15.75" customHeight="1">
      <c r="C230" s="91"/>
    </row>
    <row r="231" ht="15.75" customHeight="1">
      <c r="C231" s="91"/>
    </row>
    <row r="232" ht="15.75" customHeight="1">
      <c r="C232" s="91"/>
    </row>
    <row r="233" ht="15.75" customHeight="1">
      <c r="C233" s="91"/>
    </row>
    <row r="234" ht="15.75" customHeight="1">
      <c r="C234" s="91"/>
    </row>
    <row r="235" ht="15.75" customHeight="1">
      <c r="C235" s="91"/>
    </row>
    <row r="236" ht="15.75" customHeight="1">
      <c r="C236" s="91"/>
    </row>
    <row r="237" ht="15.75" customHeight="1">
      <c r="C237" s="91"/>
    </row>
    <row r="238" ht="15.75" customHeight="1">
      <c r="C238" s="91"/>
    </row>
    <row r="239" ht="15.75" customHeight="1">
      <c r="C239" s="91"/>
    </row>
    <row r="240" ht="15.75" customHeight="1">
      <c r="C240" s="91"/>
    </row>
    <row r="241" ht="15.75" customHeight="1">
      <c r="C241" s="91"/>
    </row>
    <row r="242" ht="15.75" customHeight="1">
      <c r="C242" s="91"/>
    </row>
    <row r="243" ht="15.75" customHeight="1">
      <c r="C243" s="91"/>
    </row>
    <row r="244" ht="15.75" customHeight="1">
      <c r="C244" s="91"/>
    </row>
    <row r="245" ht="15.75" customHeight="1">
      <c r="C245" s="91"/>
    </row>
    <row r="246" ht="15.75" customHeight="1">
      <c r="C246" s="91"/>
    </row>
    <row r="247" ht="15.75" customHeight="1">
      <c r="C247" s="91"/>
    </row>
    <row r="248" ht="15.75" customHeight="1">
      <c r="C248" s="91"/>
    </row>
    <row r="249" ht="15.75" customHeight="1">
      <c r="C249" s="91"/>
    </row>
    <row r="250" ht="15.75" customHeight="1">
      <c r="C250" s="91"/>
    </row>
    <row r="251" ht="15.75" customHeight="1">
      <c r="C251" s="91"/>
    </row>
    <row r="252" ht="15.75" customHeight="1">
      <c r="C252" s="91"/>
    </row>
    <row r="253" ht="15.75" customHeight="1">
      <c r="C253" s="91"/>
    </row>
    <row r="254" ht="15.75" customHeight="1">
      <c r="C254" s="91"/>
    </row>
    <row r="255" ht="15.75" customHeight="1">
      <c r="C255" s="91"/>
    </row>
    <row r="256" ht="15.75" customHeight="1">
      <c r="C256" s="91"/>
    </row>
    <row r="257" ht="15.75" customHeight="1">
      <c r="C257" s="91"/>
    </row>
    <row r="258" ht="15.75" customHeight="1">
      <c r="C258" s="91"/>
    </row>
    <row r="259" ht="15.75" customHeight="1">
      <c r="C259" s="91"/>
    </row>
    <row r="260" ht="15.75" customHeight="1">
      <c r="C260" s="91"/>
    </row>
    <row r="261" ht="15.75" customHeight="1">
      <c r="C261" s="91"/>
    </row>
    <row r="262" ht="15.75" customHeight="1">
      <c r="C262" s="91"/>
    </row>
    <row r="263" ht="15.75" customHeight="1">
      <c r="C263" s="91"/>
    </row>
    <row r="264" ht="15.75" customHeight="1">
      <c r="C264" s="91"/>
    </row>
    <row r="265" ht="15.75" customHeight="1">
      <c r="C265" s="91"/>
    </row>
    <row r="266" ht="15.75" customHeight="1">
      <c r="C266" s="91"/>
    </row>
    <row r="267" ht="15.75" customHeight="1">
      <c r="C267" s="91"/>
    </row>
    <row r="268" ht="15.75" customHeight="1">
      <c r="C268" s="91"/>
    </row>
    <row r="269" ht="15.75" customHeight="1">
      <c r="C269" s="91"/>
    </row>
    <row r="270" ht="15.75" customHeight="1">
      <c r="C270" s="91"/>
    </row>
    <row r="271" ht="15.75" customHeight="1">
      <c r="C271" s="91"/>
    </row>
    <row r="272" ht="15.75" customHeight="1">
      <c r="C272" s="91"/>
    </row>
    <row r="273" ht="15.75" customHeight="1">
      <c r="C273" s="91"/>
    </row>
    <row r="274" ht="15.75" customHeight="1">
      <c r="C274" s="91"/>
    </row>
    <row r="275" ht="15.75" customHeight="1">
      <c r="C275" s="91"/>
    </row>
    <row r="276" ht="15.75" customHeight="1">
      <c r="C276" s="91"/>
    </row>
    <row r="277" ht="15.75" customHeight="1">
      <c r="C277" s="91"/>
    </row>
    <row r="278" ht="15.75" customHeight="1">
      <c r="C278" s="91"/>
    </row>
    <row r="279" ht="15.75" customHeight="1">
      <c r="C279" s="91"/>
    </row>
    <row r="280" ht="15.75" customHeight="1">
      <c r="C280" s="91"/>
    </row>
    <row r="281" ht="15.75" customHeight="1">
      <c r="C281" s="91"/>
    </row>
    <row r="282" ht="15.75" customHeight="1">
      <c r="C282" s="91"/>
    </row>
    <row r="283" ht="15.75" customHeight="1">
      <c r="C283" s="91"/>
    </row>
    <row r="284" ht="15.75" customHeight="1">
      <c r="C284" s="91"/>
    </row>
    <row r="285" ht="15.75" customHeight="1">
      <c r="C285" s="91"/>
    </row>
    <row r="286" ht="15.75" customHeight="1">
      <c r="C286" s="91"/>
    </row>
    <row r="287" ht="15.75" customHeight="1">
      <c r="C287" s="91"/>
    </row>
    <row r="288" ht="15.75" customHeight="1">
      <c r="C288" s="91"/>
    </row>
    <row r="289" ht="15.75" customHeight="1">
      <c r="C289" s="91"/>
    </row>
    <row r="290" ht="15.75" customHeight="1">
      <c r="C290" s="91"/>
    </row>
    <row r="291" ht="15.75" customHeight="1">
      <c r="C291" s="91"/>
    </row>
    <row r="292" ht="15.75" customHeight="1">
      <c r="C292" s="91"/>
    </row>
    <row r="293" ht="15.75" customHeight="1">
      <c r="C293" s="91"/>
    </row>
    <row r="294" ht="15.75" customHeight="1">
      <c r="C294" s="91"/>
    </row>
    <row r="295" ht="15.75" customHeight="1">
      <c r="C295" s="91"/>
    </row>
    <row r="296" ht="15.75" customHeight="1">
      <c r="C296" s="91"/>
    </row>
    <row r="297" ht="15.75" customHeight="1">
      <c r="C297" s="91"/>
    </row>
    <row r="298" ht="15.75" customHeight="1">
      <c r="C298" s="91"/>
    </row>
    <row r="299" ht="15.75" customHeight="1">
      <c r="C299" s="91"/>
    </row>
    <row r="300" ht="15.75" customHeight="1">
      <c r="C300" s="91"/>
    </row>
    <row r="301" ht="15.75" customHeight="1">
      <c r="C301" s="91"/>
    </row>
    <row r="302" ht="15.75" customHeight="1">
      <c r="C302" s="91"/>
    </row>
    <row r="303" ht="15.75" customHeight="1">
      <c r="C303" s="91"/>
    </row>
    <row r="304" ht="15.75" customHeight="1">
      <c r="C304" s="91"/>
    </row>
    <row r="305" ht="15.75" customHeight="1">
      <c r="C305" s="91"/>
    </row>
    <row r="306" ht="15.75" customHeight="1">
      <c r="C306" s="91"/>
    </row>
    <row r="307" ht="15.75" customHeight="1">
      <c r="C307" s="91"/>
    </row>
    <row r="308" ht="15.75" customHeight="1">
      <c r="C308" s="91"/>
    </row>
    <row r="309" ht="15.75" customHeight="1">
      <c r="C309" s="91"/>
    </row>
    <row r="310" ht="15.75" customHeight="1">
      <c r="C310" s="91"/>
    </row>
    <row r="311" ht="15.75" customHeight="1">
      <c r="C311" s="91"/>
    </row>
    <row r="312" ht="15.75" customHeight="1">
      <c r="C312" s="91"/>
    </row>
    <row r="313" ht="15.75" customHeight="1">
      <c r="C313" s="91"/>
    </row>
    <row r="314" ht="15.75" customHeight="1">
      <c r="C314" s="91"/>
    </row>
    <row r="315" ht="15.75" customHeight="1">
      <c r="C315" s="91"/>
    </row>
    <row r="316" ht="15.75" customHeight="1">
      <c r="C316" s="91"/>
    </row>
    <row r="317" ht="15.75" customHeight="1">
      <c r="C317" s="91"/>
    </row>
    <row r="318" ht="15.75" customHeight="1">
      <c r="C318" s="91"/>
    </row>
    <row r="319" ht="15.75" customHeight="1">
      <c r="C319" s="91"/>
    </row>
    <row r="320" ht="15.75" customHeight="1">
      <c r="C320" s="91"/>
    </row>
    <row r="321" ht="15.75" customHeight="1">
      <c r="C321" s="91"/>
    </row>
    <row r="322" ht="15.75" customHeight="1">
      <c r="C322" s="91"/>
    </row>
    <row r="323" ht="15.75" customHeight="1">
      <c r="C323" s="91"/>
    </row>
    <row r="324" ht="15.75" customHeight="1">
      <c r="C324" s="91"/>
    </row>
    <row r="325" ht="15.75" customHeight="1">
      <c r="C325" s="91"/>
    </row>
    <row r="326" ht="15.75" customHeight="1">
      <c r="C326" s="91"/>
    </row>
    <row r="327" ht="15.75" customHeight="1">
      <c r="C327" s="91"/>
    </row>
    <row r="328" ht="15.75" customHeight="1">
      <c r="C328" s="91"/>
    </row>
    <row r="329" ht="15.75" customHeight="1">
      <c r="C329" s="91"/>
    </row>
    <row r="330" ht="15.75" customHeight="1">
      <c r="C330" s="91"/>
    </row>
    <row r="331" ht="15.75" customHeight="1">
      <c r="C331" s="91"/>
    </row>
    <row r="332" ht="15.75" customHeight="1">
      <c r="C332" s="91"/>
    </row>
    <row r="333" ht="15.75" customHeight="1">
      <c r="C333" s="91"/>
    </row>
    <row r="334" ht="15.75" customHeight="1">
      <c r="C334" s="91"/>
    </row>
    <row r="335" ht="15.75" customHeight="1">
      <c r="C335" s="91"/>
    </row>
    <row r="336" ht="15.75" customHeight="1">
      <c r="C336" s="91"/>
    </row>
    <row r="337" ht="15.75" customHeight="1">
      <c r="C337" s="91"/>
    </row>
    <row r="338" ht="15.75" customHeight="1">
      <c r="C338" s="91"/>
    </row>
    <row r="339" ht="15.75" customHeight="1">
      <c r="C339" s="91"/>
    </row>
    <row r="340" ht="15.75" customHeight="1">
      <c r="C340" s="91"/>
    </row>
    <row r="341" ht="15.75" customHeight="1">
      <c r="C341" s="91"/>
    </row>
    <row r="342" ht="15.75" customHeight="1">
      <c r="C342" s="91"/>
    </row>
    <row r="343" ht="15.75" customHeight="1">
      <c r="C343" s="91"/>
    </row>
    <row r="344" ht="15.75" customHeight="1">
      <c r="C344" s="91"/>
    </row>
    <row r="345" ht="15.75" customHeight="1">
      <c r="C345" s="91"/>
    </row>
    <row r="346" ht="15.75" customHeight="1">
      <c r="C346" s="91"/>
    </row>
    <row r="347" ht="15.75" customHeight="1">
      <c r="C347" s="91"/>
    </row>
    <row r="348" ht="15.75" customHeight="1">
      <c r="C348" s="91"/>
    </row>
    <row r="349" ht="15.75" customHeight="1">
      <c r="C349" s="91"/>
    </row>
    <row r="350" ht="15.75" customHeight="1">
      <c r="C350" s="91"/>
    </row>
    <row r="351" ht="15.75" customHeight="1">
      <c r="C351" s="91"/>
    </row>
    <row r="352" ht="15.75" customHeight="1">
      <c r="C352" s="91"/>
    </row>
    <row r="353" ht="15.75" customHeight="1">
      <c r="C353" s="91"/>
    </row>
    <row r="354" ht="15.75" customHeight="1">
      <c r="C354" s="91"/>
    </row>
    <row r="355" ht="15.75" customHeight="1">
      <c r="C355" s="91"/>
    </row>
    <row r="356" ht="15.75" customHeight="1">
      <c r="C356" s="91"/>
    </row>
    <row r="357" ht="15.75" customHeight="1">
      <c r="C357" s="91"/>
    </row>
    <row r="358" ht="15.75" customHeight="1">
      <c r="C358" s="91"/>
    </row>
    <row r="359" ht="15.75" customHeight="1">
      <c r="C359" s="91"/>
    </row>
    <row r="360" ht="15.75" customHeight="1">
      <c r="C360" s="91"/>
    </row>
    <row r="361" ht="15.75" customHeight="1">
      <c r="C361" s="91"/>
    </row>
    <row r="362" ht="15.75" customHeight="1">
      <c r="C362" s="91"/>
    </row>
    <row r="363" ht="15.75" customHeight="1">
      <c r="C363" s="91"/>
    </row>
    <row r="364" ht="15.75" customHeight="1">
      <c r="C364" s="91"/>
    </row>
    <row r="365" ht="15.75" customHeight="1">
      <c r="C365" s="91"/>
    </row>
    <row r="366" ht="15.75" customHeight="1">
      <c r="C366" s="91"/>
    </row>
    <row r="367" ht="15.75" customHeight="1">
      <c r="C367" s="91"/>
    </row>
    <row r="368" ht="15.75" customHeight="1">
      <c r="C368" s="91"/>
    </row>
    <row r="369" ht="15.75" customHeight="1">
      <c r="C369" s="91"/>
    </row>
    <row r="370" ht="15.75" customHeight="1">
      <c r="C370" s="91"/>
    </row>
    <row r="371" ht="15.75" customHeight="1">
      <c r="C371" s="91"/>
    </row>
    <row r="372" ht="15.75" customHeight="1">
      <c r="C372" s="91"/>
    </row>
    <row r="373" ht="15.75" customHeight="1">
      <c r="C373" s="91"/>
    </row>
    <row r="374" ht="15.75" customHeight="1">
      <c r="C374" s="91"/>
    </row>
    <row r="375" ht="15.75" customHeight="1">
      <c r="C375" s="91"/>
    </row>
    <row r="376" ht="15.75" customHeight="1">
      <c r="C376" s="91"/>
    </row>
    <row r="377" ht="15.75" customHeight="1">
      <c r="C377" s="91"/>
    </row>
    <row r="378" ht="15.75" customHeight="1">
      <c r="C378" s="91"/>
    </row>
    <row r="379" ht="15.75" customHeight="1">
      <c r="C379" s="91"/>
    </row>
    <row r="380" ht="15.75" customHeight="1">
      <c r="C380" s="91"/>
    </row>
    <row r="381" ht="15.75" customHeight="1">
      <c r="C381" s="91"/>
    </row>
    <row r="382" ht="15.75" customHeight="1">
      <c r="C382" s="91"/>
    </row>
    <row r="383" ht="15.75" customHeight="1">
      <c r="C383" s="91"/>
    </row>
    <row r="384" ht="15.75" customHeight="1">
      <c r="C384" s="91"/>
    </row>
    <row r="385" ht="15.75" customHeight="1">
      <c r="C385" s="91"/>
    </row>
    <row r="386" ht="15.75" customHeight="1">
      <c r="C386" s="91"/>
    </row>
    <row r="387" ht="15.75" customHeight="1">
      <c r="C387" s="91"/>
    </row>
    <row r="388" ht="15.75" customHeight="1">
      <c r="C388" s="91"/>
    </row>
    <row r="389" ht="15.75" customHeight="1">
      <c r="C389" s="91"/>
    </row>
    <row r="390" ht="15.75" customHeight="1">
      <c r="C390" s="91"/>
    </row>
    <row r="391" ht="15.75" customHeight="1">
      <c r="C391" s="91"/>
    </row>
    <row r="392" ht="15.75" customHeight="1">
      <c r="C392" s="91"/>
    </row>
    <row r="393" ht="15.75" customHeight="1">
      <c r="C393" s="91"/>
    </row>
    <row r="394" ht="15.75" customHeight="1">
      <c r="C394" s="91"/>
    </row>
    <row r="395" ht="15.75" customHeight="1">
      <c r="C395" s="91"/>
    </row>
    <row r="396" ht="15.75" customHeight="1">
      <c r="C396" s="91"/>
    </row>
    <row r="397" ht="15.75" customHeight="1">
      <c r="C397" s="91"/>
    </row>
    <row r="398" ht="15.75" customHeight="1">
      <c r="C398" s="91"/>
    </row>
    <row r="399" ht="15.75" customHeight="1">
      <c r="C399" s="91"/>
    </row>
    <row r="400" ht="15.75" customHeight="1">
      <c r="C400" s="91"/>
    </row>
    <row r="401" ht="15.75" customHeight="1">
      <c r="C401" s="91"/>
    </row>
    <row r="402" ht="15.75" customHeight="1">
      <c r="C402" s="91"/>
    </row>
    <row r="403" ht="15.75" customHeight="1">
      <c r="C403" s="91"/>
    </row>
    <row r="404" ht="15.75" customHeight="1">
      <c r="C404" s="91"/>
    </row>
    <row r="405" ht="15.75" customHeight="1">
      <c r="C405" s="91"/>
    </row>
    <row r="406" ht="15.75" customHeight="1">
      <c r="C406" s="91"/>
    </row>
    <row r="407" ht="15.75" customHeight="1">
      <c r="C407" s="91"/>
    </row>
    <row r="408" ht="15.75" customHeight="1">
      <c r="C408" s="91"/>
    </row>
    <row r="409" ht="15.75" customHeight="1">
      <c r="C409" s="91"/>
    </row>
    <row r="410" ht="15.75" customHeight="1">
      <c r="C410" s="91"/>
    </row>
    <row r="411" ht="15.75" customHeight="1">
      <c r="C411" s="91"/>
    </row>
    <row r="412" ht="15.75" customHeight="1">
      <c r="C412" s="91"/>
    </row>
    <row r="413" ht="15.75" customHeight="1">
      <c r="C413" s="91"/>
    </row>
    <row r="414" ht="15.75" customHeight="1">
      <c r="C414" s="91"/>
    </row>
    <row r="415" ht="15.75" customHeight="1">
      <c r="C415" s="91"/>
    </row>
    <row r="416" ht="15.75" customHeight="1">
      <c r="C416" s="91"/>
    </row>
    <row r="417" ht="15.75" customHeight="1">
      <c r="C417" s="91"/>
    </row>
    <row r="418" ht="15.75" customHeight="1">
      <c r="C418" s="91"/>
    </row>
    <row r="419" ht="15.75" customHeight="1">
      <c r="C419" s="91"/>
    </row>
    <row r="420" ht="15.75" customHeight="1">
      <c r="C420" s="91"/>
    </row>
    <row r="421" ht="15.75" customHeight="1">
      <c r="C421" s="91"/>
    </row>
    <row r="422" ht="15.75" customHeight="1">
      <c r="C422" s="91"/>
    </row>
    <row r="423" ht="15.75" customHeight="1">
      <c r="C423" s="91"/>
    </row>
    <row r="424" ht="15.75" customHeight="1">
      <c r="C424" s="91"/>
    </row>
    <row r="425" ht="15.75" customHeight="1">
      <c r="C425" s="91"/>
    </row>
    <row r="426" ht="15.75" customHeight="1">
      <c r="C426" s="91"/>
    </row>
    <row r="427" ht="15.75" customHeight="1">
      <c r="C427" s="91"/>
    </row>
    <row r="428" ht="15.75" customHeight="1">
      <c r="C428" s="91"/>
    </row>
    <row r="429" ht="15.75" customHeight="1">
      <c r="C429" s="91"/>
    </row>
    <row r="430" ht="15.75" customHeight="1">
      <c r="C430" s="91"/>
    </row>
    <row r="431" ht="15.75" customHeight="1">
      <c r="C431" s="91"/>
    </row>
    <row r="432" ht="15.75" customHeight="1">
      <c r="C432" s="91"/>
    </row>
    <row r="433" ht="15.75" customHeight="1">
      <c r="C433" s="91"/>
    </row>
    <row r="434" ht="15.75" customHeight="1">
      <c r="C434" s="91"/>
    </row>
    <row r="435" ht="15.75" customHeight="1">
      <c r="C435" s="91"/>
    </row>
    <row r="436" ht="15.75" customHeight="1">
      <c r="C436" s="91"/>
    </row>
    <row r="437" ht="15.75" customHeight="1">
      <c r="C437" s="91"/>
    </row>
    <row r="438" ht="15.75" customHeight="1">
      <c r="C438" s="91"/>
    </row>
    <row r="439" ht="15.75" customHeight="1">
      <c r="C439" s="91"/>
    </row>
    <row r="440" ht="15.75" customHeight="1">
      <c r="C440" s="91"/>
    </row>
    <row r="441" ht="15.75" customHeight="1">
      <c r="C441" s="91"/>
    </row>
    <row r="442" ht="15.75" customHeight="1">
      <c r="C442" s="91"/>
    </row>
    <row r="443" ht="15.75" customHeight="1">
      <c r="C443" s="91"/>
    </row>
    <row r="444" ht="15.75" customHeight="1">
      <c r="C444" s="91"/>
    </row>
    <row r="445" ht="15.75" customHeight="1">
      <c r="C445" s="91"/>
    </row>
    <row r="446" ht="15.75" customHeight="1">
      <c r="C446" s="91"/>
    </row>
    <row r="447" ht="15.75" customHeight="1">
      <c r="C447" s="91"/>
    </row>
    <row r="448" ht="15.75" customHeight="1">
      <c r="C448" s="91"/>
    </row>
    <row r="449" ht="15.75" customHeight="1">
      <c r="C449" s="91"/>
    </row>
    <row r="450" ht="15.75" customHeight="1">
      <c r="C450" s="91"/>
    </row>
    <row r="451" ht="15.75" customHeight="1">
      <c r="C451" s="91"/>
    </row>
    <row r="452" ht="15.75" customHeight="1">
      <c r="C452" s="91"/>
    </row>
    <row r="453" ht="15.75" customHeight="1">
      <c r="C453" s="91"/>
    </row>
    <row r="454" ht="15.75" customHeight="1">
      <c r="C454" s="91"/>
    </row>
    <row r="455" ht="15.75" customHeight="1">
      <c r="C455" s="91"/>
    </row>
    <row r="456" ht="15.75" customHeight="1">
      <c r="C456" s="91"/>
    </row>
    <row r="457" ht="15.75" customHeight="1">
      <c r="C457" s="91"/>
    </row>
    <row r="458" ht="15.75" customHeight="1">
      <c r="C458" s="91"/>
    </row>
    <row r="459" ht="15.75" customHeight="1">
      <c r="C459" s="91"/>
    </row>
    <row r="460" ht="15.75" customHeight="1">
      <c r="C460" s="91"/>
    </row>
    <row r="461" ht="15.75" customHeight="1">
      <c r="C461" s="91"/>
    </row>
    <row r="462" ht="15.75" customHeight="1">
      <c r="C462" s="91"/>
    </row>
    <row r="463" ht="15.75" customHeight="1">
      <c r="C463" s="91"/>
    </row>
    <row r="464" ht="15.75" customHeight="1">
      <c r="C464" s="91"/>
    </row>
    <row r="465" ht="15.75" customHeight="1">
      <c r="C465" s="91"/>
    </row>
    <row r="466" ht="15.75" customHeight="1">
      <c r="C466" s="91"/>
    </row>
    <row r="467" ht="15.75" customHeight="1">
      <c r="C467" s="91"/>
    </row>
    <row r="468" ht="15.75" customHeight="1">
      <c r="C468" s="91"/>
    </row>
    <row r="469" ht="15.75" customHeight="1">
      <c r="C469" s="91"/>
    </row>
    <row r="470" ht="15.75" customHeight="1">
      <c r="C470" s="91"/>
    </row>
    <row r="471" ht="15.75" customHeight="1">
      <c r="C471" s="91"/>
    </row>
    <row r="472" ht="15.75" customHeight="1">
      <c r="C472" s="91"/>
    </row>
    <row r="473" ht="15.75" customHeight="1">
      <c r="C473" s="91"/>
    </row>
    <row r="474" ht="15.75" customHeight="1">
      <c r="C474" s="91"/>
    </row>
    <row r="475" ht="15.75" customHeight="1">
      <c r="C475" s="91"/>
    </row>
    <row r="476" ht="15.75" customHeight="1">
      <c r="C476" s="91"/>
    </row>
    <row r="477" ht="15.75" customHeight="1">
      <c r="C477" s="91"/>
    </row>
    <row r="478" ht="15.75" customHeight="1">
      <c r="C478" s="91"/>
    </row>
    <row r="479" ht="15.75" customHeight="1">
      <c r="C479" s="91"/>
    </row>
    <row r="480" ht="15.75" customHeight="1">
      <c r="C480" s="91"/>
    </row>
    <row r="481" ht="15.75" customHeight="1">
      <c r="C481" s="91"/>
    </row>
    <row r="482" ht="15.75" customHeight="1">
      <c r="C482" s="91"/>
    </row>
    <row r="483" ht="15.75" customHeight="1">
      <c r="C483" s="91"/>
    </row>
    <row r="484" ht="15.75" customHeight="1">
      <c r="C484" s="91"/>
    </row>
    <row r="485" ht="15.75" customHeight="1">
      <c r="C485" s="91"/>
    </row>
    <row r="486" ht="15.75" customHeight="1">
      <c r="C486" s="91"/>
    </row>
    <row r="487" ht="15.75" customHeight="1">
      <c r="C487" s="91"/>
    </row>
    <row r="488" ht="15.75" customHeight="1">
      <c r="C488" s="91"/>
    </row>
    <row r="489" ht="15.75" customHeight="1">
      <c r="C489" s="91"/>
    </row>
    <row r="490" ht="15.75" customHeight="1">
      <c r="C490" s="91"/>
    </row>
    <row r="491" ht="15.75" customHeight="1">
      <c r="C491" s="91"/>
    </row>
    <row r="492" ht="15.75" customHeight="1">
      <c r="C492" s="91"/>
    </row>
    <row r="493" ht="15.75" customHeight="1">
      <c r="C493" s="91"/>
    </row>
    <row r="494" ht="15.75" customHeight="1">
      <c r="C494" s="91"/>
    </row>
    <row r="495" ht="15.75" customHeight="1">
      <c r="C495" s="91"/>
    </row>
    <row r="496" ht="15.75" customHeight="1">
      <c r="C496" s="91"/>
    </row>
    <row r="497" ht="15.75" customHeight="1">
      <c r="C497" s="91"/>
    </row>
    <row r="498" ht="15.75" customHeight="1">
      <c r="C498" s="91"/>
    </row>
    <row r="499" ht="15.75" customHeight="1">
      <c r="C499" s="91"/>
    </row>
    <row r="500" ht="15.75" customHeight="1">
      <c r="C500" s="91"/>
    </row>
    <row r="501" ht="15.75" customHeight="1">
      <c r="C501" s="91"/>
    </row>
    <row r="502" ht="15.75" customHeight="1">
      <c r="C502" s="91"/>
    </row>
    <row r="503" ht="15.75" customHeight="1">
      <c r="C503" s="91"/>
    </row>
    <row r="504" ht="15.75" customHeight="1">
      <c r="C504" s="91"/>
    </row>
    <row r="505" ht="15.75" customHeight="1">
      <c r="C505" s="91"/>
    </row>
    <row r="506" ht="15.75" customHeight="1">
      <c r="C506" s="91"/>
    </row>
    <row r="507" ht="15.75" customHeight="1">
      <c r="C507" s="91"/>
    </row>
    <row r="508" ht="15.75" customHeight="1">
      <c r="C508" s="91"/>
    </row>
    <row r="509" ht="15.75" customHeight="1">
      <c r="C509" s="91"/>
    </row>
    <row r="510" ht="15.75" customHeight="1">
      <c r="C510" s="91"/>
    </row>
    <row r="511" ht="15.75" customHeight="1">
      <c r="C511" s="91"/>
    </row>
    <row r="512" ht="15.75" customHeight="1">
      <c r="C512" s="91"/>
    </row>
    <row r="513" ht="15.75" customHeight="1">
      <c r="C513" s="91"/>
    </row>
    <row r="514" ht="15.75" customHeight="1">
      <c r="C514" s="91"/>
    </row>
    <row r="515" ht="15.75" customHeight="1">
      <c r="C515" s="91"/>
    </row>
    <row r="516" ht="15.75" customHeight="1">
      <c r="C516" s="91"/>
    </row>
    <row r="517" ht="15.75" customHeight="1">
      <c r="C517" s="91"/>
    </row>
    <row r="518" ht="15.75" customHeight="1">
      <c r="C518" s="91"/>
    </row>
    <row r="519" ht="15.75" customHeight="1">
      <c r="C519" s="91"/>
    </row>
    <row r="520" ht="15.75" customHeight="1">
      <c r="C520" s="91"/>
    </row>
    <row r="521" ht="15.75" customHeight="1">
      <c r="C521" s="91"/>
    </row>
    <row r="522" ht="15.75" customHeight="1">
      <c r="C522" s="91"/>
    </row>
    <row r="523" ht="15.75" customHeight="1">
      <c r="C523" s="91"/>
    </row>
    <row r="524" ht="15.75" customHeight="1">
      <c r="C524" s="91"/>
    </row>
    <row r="525" ht="15.75" customHeight="1">
      <c r="C525" s="91"/>
    </row>
    <row r="526" ht="15.75" customHeight="1">
      <c r="C526" s="91"/>
    </row>
    <row r="527" ht="15.75" customHeight="1">
      <c r="C527" s="91"/>
    </row>
    <row r="528" ht="15.75" customHeight="1">
      <c r="C528" s="91"/>
    </row>
    <row r="529" ht="15.75" customHeight="1">
      <c r="C529" s="91"/>
    </row>
    <row r="530" ht="15.75" customHeight="1">
      <c r="C530" s="91"/>
    </row>
    <row r="531" ht="15.75" customHeight="1">
      <c r="C531" s="91"/>
    </row>
    <row r="532" ht="15.75" customHeight="1">
      <c r="C532" s="91"/>
    </row>
    <row r="533" ht="15.75" customHeight="1">
      <c r="C533" s="91"/>
    </row>
    <row r="534" ht="15.75" customHeight="1">
      <c r="C534" s="91"/>
    </row>
    <row r="535" ht="15.75" customHeight="1">
      <c r="C535" s="91"/>
    </row>
    <row r="536" ht="15.75" customHeight="1">
      <c r="C536" s="91"/>
    </row>
    <row r="537" ht="15.75" customHeight="1">
      <c r="C537" s="91"/>
    </row>
    <row r="538" ht="15.75" customHeight="1">
      <c r="C538" s="91"/>
    </row>
    <row r="539" ht="15.75" customHeight="1">
      <c r="C539" s="91"/>
    </row>
    <row r="540" ht="15.75" customHeight="1">
      <c r="C540" s="91"/>
    </row>
    <row r="541" ht="15.75" customHeight="1">
      <c r="C541" s="91"/>
    </row>
    <row r="542" ht="15.75" customHeight="1">
      <c r="C542" s="91"/>
    </row>
    <row r="543" ht="15.75" customHeight="1">
      <c r="C543" s="91"/>
    </row>
    <row r="544" ht="15.75" customHeight="1">
      <c r="C544" s="91"/>
    </row>
    <row r="545" ht="15.75" customHeight="1">
      <c r="C545" s="91"/>
    </row>
    <row r="546" ht="15.75" customHeight="1">
      <c r="C546" s="91"/>
    </row>
    <row r="547" ht="15.75" customHeight="1">
      <c r="C547" s="91"/>
    </row>
    <row r="548" ht="15.75" customHeight="1">
      <c r="C548" s="91"/>
    </row>
    <row r="549" ht="15.75" customHeight="1">
      <c r="C549" s="91"/>
    </row>
    <row r="550" ht="15.75" customHeight="1">
      <c r="C550" s="91"/>
    </row>
    <row r="551" ht="15.75" customHeight="1">
      <c r="C551" s="91"/>
    </row>
    <row r="552" ht="15.75" customHeight="1">
      <c r="C552" s="91"/>
    </row>
    <row r="553" ht="15.75" customHeight="1">
      <c r="C553" s="91"/>
    </row>
    <row r="554" ht="15.75" customHeight="1">
      <c r="C554" s="91"/>
    </row>
    <row r="555" ht="15.75" customHeight="1">
      <c r="C555" s="91"/>
    </row>
    <row r="556" ht="15.75" customHeight="1">
      <c r="C556" s="91"/>
    </row>
    <row r="557" ht="15.75" customHeight="1">
      <c r="C557" s="91"/>
    </row>
    <row r="558" ht="15.75" customHeight="1">
      <c r="C558" s="91"/>
    </row>
    <row r="559" ht="15.75" customHeight="1">
      <c r="C559" s="91"/>
    </row>
    <row r="560" ht="15.75" customHeight="1">
      <c r="C560" s="91"/>
    </row>
    <row r="561" ht="15.75" customHeight="1">
      <c r="C561" s="91"/>
    </row>
    <row r="562" ht="15.75" customHeight="1">
      <c r="C562" s="91"/>
    </row>
    <row r="563" ht="15.75" customHeight="1">
      <c r="C563" s="91"/>
    </row>
    <row r="564" ht="15.75" customHeight="1">
      <c r="C564" s="91"/>
    </row>
    <row r="565" ht="15.75" customHeight="1">
      <c r="C565" s="91"/>
    </row>
    <row r="566" ht="15.75" customHeight="1">
      <c r="C566" s="91"/>
    </row>
    <row r="567" ht="15.75" customHeight="1">
      <c r="C567" s="91"/>
    </row>
    <row r="568" ht="15.75" customHeight="1">
      <c r="C568" s="91"/>
    </row>
    <row r="569" ht="15.75" customHeight="1">
      <c r="C569" s="91"/>
    </row>
    <row r="570" ht="15.75" customHeight="1">
      <c r="C570" s="91"/>
    </row>
    <row r="571" ht="15.75" customHeight="1">
      <c r="C571" s="91"/>
    </row>
    <row r="572" ht="15.75" customHeight="1">
      <c r="C572" s="91"/>
    </row>
    <row r="573" ht="15.75" customHeight="1">
      <c r="C573" s="91"/>
    </row>
    <row r="574" ht="15.75" customHeight="1">
      <c r="C574" s="91"/>
    </row>
    <row r="575" ht="15.75" customHeight="1">
      <c r="C575" s="91"/>
    </row>
    <row r="576" ht="15.75" customHeight="1">
      <c r="C576" s="91"/>
    </row>
    <row r="577" ht="15.75" customHeight="1">
      <c r="C577" s="91"/>
    </row>
    <row r="578" ht="15.75" customHeight="1">
      <c r="C578" s="91"/>
    </row>
    <row r="579" ht="15.75" customHeight="1">
      <c r="C579" s="91"/>
    </row>
    <row r="580" ht="15.75" customHeight="1">
      <c r="C580" s="91"/>
    </row>
    <row r="581" ht="15.75" customHeight="1">
      <c r="C581" s="91"/>
    </row>
    <row r="582" ht="15.75" customHeight="1">
      <c r="C582" s="91"/>
    </row>
    <row r="583" ht="15.75" customHeight="1">
      <c r="C583" s="91"/>
    </row>
    <row r="584" ht="15.75" customHeight="1">
      <c r="C584" s="91"/>
    </row>
    <row r="585" ht="15.75" customHeight="1">
      <c r="C585" s="91"/>
    </row>
    <row r="586" ht="15.75" customHeight="1">
      <c r="C586" s="91"/>
    </row>
    <row r="587" ht="15.75" customHeight="1">
      <c r="C587" s="91"/>
    </row>
    <row r="588" ht="15.75" customHeight="1">
      <c r="C588" s="91"/>
    </row>
    <row r="589" ht="15.75" customHeight="1">
      <c r="C589" s="91"/>
    </row>
    <row r="590" ht="15.75" customHeight="1">
      <c r="C590" s="91"/>
    </row>
    <row r="591" ht="15.75" customHeight="1">
      <c r="C591" s="91"/>
    </row>
    <row r="592" ht="15.75" customHeight="1">
      <c r="C592" s="91"/>
    </row>
    <row r="593" ht="15.75" customHeight="1">
      <c r="C593" s="91"/>
    </row>
    <row r="594" ht="15.75" customHeight="1">
      <c r="C594" s="91"/>
    </row>
    <row r="595" ht="15.75" customHeight="1">
      <c r="C595" s="91"/>
    </row>
    <row r="596" ht="15.75" customHeight="1">
      <c r="C596" s="91"/>
    </row>
    <row r="597" ht="15.75" customHeight="1">
      <c r="C597" s="91"/>
    </row>
    <row r="598" ht="15.75" customHeight="1">
      <c r="C598" s="91"/>
    </row>
    <row r="599" ht="15.75" customHeight="1">
      <c r="C599" s="91"/>
    </row>
    <row r="600" ht="15.75" customHeight="1">
      <c r="C600" s="91"/>
    </row>
    <row r="601" ht="15.75" customHeight="1">
      <c r="C601" s="91"/>
    </row>
    <row r="602" ht="15.75" customHeight="1">
      <c r="C602" s="91"/>
    </row>
    <row r="603" ht="15.75" customHeight="1">
      <c r="C603" s="91"/>
    </row>
    <row r="604" ht="15.75" customHeight="1">
      <c r="C604" s="91"/>
    </row>
    <row r="605" ht="15.75" customHeight="1">
      <c r="C605" s="91"/>
    </row>
    <row r="606" ht="15.75" customHeight="1">
      <c r="C606" s="91"/>
    </row>
    <row r="607" ht="15.75" customHeight="1">
      <c r="C607" s="91"/>
    </row>
    <row r="608" ht="15.75" customHeight="1">
      <c r="C608" s="91"/>
    </row>
    <row r="609" ht="15.75" customHeight="1">
      <c r="C609" s="91"/>
    </row>
    <row r="610" ht="15.75" customHeight="1">
      <c r="C610" s="91"/>
    </row>
    <row r="611" ht="15.75" customHeight="1">
      <c r="C611" s="91"/>
    </row>
    <row r="612" ht="15.75" customHeight="1">
      <c r="C612" s="91"/>
    </row>
    <row r="613" ht="15.75" customHeight="1">
      <c r="C613" s="91"/>
    </row>
    <row r="614" ht="15.75" customHeight="1">
      <c r="C614" s="91"/>
    </row>
    <row r="615" ht="15.75" customHeight="1">
      <c r="C615" s="91"/>
    </row>
    <row r="616" ht="15.75" customHeight="1">
      <c r="C616" s="91"/>
    </row>
    <row r="617" ht="15.75" customHeight="1">
      <c r="C617" s="91"/>
    </row>
    <row r="618" ht="15.75" customHeight="1">
      <c r="C618" s="91"/>
    </row>
    <row r="619" ht="15.75" customHeight="1">
      <c r="C619" s="91"/>
    </row>
    <row r="620" ht="15.75" customHeight="1">
      <c r="C620" s="91"/>
    </row>
    <row r="621" ht="15.75" customHeight="1">
      <c r="C621" s="91"/>
    </row>
    <row r="622" ht="15.75" customHeight="1">
      <c r="C622" s="91"/>
    </row>
    <row r="623" ht="15.75" customHeight="1">
      <c r="C623" s="91"/>
    </row>
    <row r="624" ht="15.75" customHeight="1">
      <c r="C624" s="91"/>
    </row>
    <row r="625" ht="15.75" customHeight="1">
      <c r="C625" s="91"/>
    </row>
    <row r="626" ht="15.75" customHeight="1">
      <c r="C626" s="91"/>
    </row>
    <row r="627" ht="15.75" customHeight="1">
      <c r="C627" s="91"/>
    </row>
    <row r="628" ht="15.75" customHeight="1">
      <c r="C628" s="91"/>
    </row>
    <row r="629" ht="15.75" customHeight="1">
      <c r="C629" s="91"/>
    </row>
    <row r="630" ht="15.75" customHeight="1">
      <c r="C630" s="91"/>
    </row>
    <row r="631" ht="15.75" customHeight="1">
      <c r="C631" s="91"/>
    </row>
    <row r="632" ht="15.75" customHeight="1">
      <c r="C632" s="91"/>
    </row>
    <row r="633" ht="15.75" customHeight="1">
      <c r="C633" s="91"/>
    </row>
    <row r="634" ht="15.75" customHeight="1">
      <c r="C634" s="91"/>
    </row>
    <row r="635" ht="15.75" customHeight="1">
      <c r="C635" s="91"/>
    </row>
    <row r="636" ht="15.75" customHeight="1">
      <c r="C636" s="91"/>
    </row>
    <row r="637" ht="15.75" customHeight="1">
      <c r="C637" s="91"/>
    </row>
    <row r="638" ht="15.75" customHeight="1">
      <c r="C638" s="91"/>
    </row>
    <row r="639" ht="15.75" customHeight="1">
      <c r="C639" s="91"/>
    </row>
    <row r="640" ht="15.75" customHeight="1">
      <c r="C640" s="91"/>
    </row>
    <row r="641" ht="15.75" customHeight="1">
      <c r="C641" s="91"/>
    </row>
    <row r="642" ht="15.75" customHeight="1">
      <c r="C642" s="91"/>
    </row>
    <row r="643" ht="15.75" customHeight="1">
      <c r="C643" s="91"/>
    </row>
    <row r="644" ht="15.75" customHeight="1">
      <c r="C644" s="91"/>
    </row>
    <row r="645" ht="15.75" customHeight="1">
      <c r="C645" s="91"/>
    </row>
    <row r="646" ht="15.75" customHeight="1">
      <c r="C646" s="91"/>
    </row>
    <row r="647" ht="15.75" customHeight="1">
      <c r="C647" s="91"/>
    </row>
    <row r="648" ht="15.75" customHeight="1">
      <c r="C648" s="91"/>
    </row>
    <row r="649" ht="15.75" customHeight="1">
      <c r="C649" s="91"/>
    </row>
    <row r="650" ht="15.75" customHeight="1">
      <c r="C650" s="91"/>
    </row>
    <row r="651" ht="15.75" customHeight="1">
      <c r="C651" s="91"/>
    </row>
    <row r="652" ht="15.75" customHeight="1">
      <c r="C652" s="91"/>
    </row>
    <row r="653" ht="15.75" customHeight="1">
      <c r="C653" s="91"/>
    </row>
    <row r="654" ht="15.75" customHeight="1">
      <c r="C654" s="91"/>
    </row>
    <row r="655" ht="15.75" customHeight="1">
      <c r="C655" s="91"/>
    </row>
    <row r="656" ht="15.75" customHeight="1">
      <c r="C656" s="91"/>
    </row>
    <row r="657" ht="15.75" customHeight="1">
      <c r="C657" s="91"/>
    </row>
    <row r="658" ht="15.75" customHeight="1">
      <c r="C658" s="91"/>
    </row>
    <row r="659" ht="15.75" customHeight="1">
      <c r="C659" s="91"/>
    </row>
    <row r="660" ht="15.75" customHeight="1">
      <c r="C660" s="91"/>
    </row>
    <row r="661" ht="15.75" customHeight="1">
      <c r="C661" s="91"/>
    </row>
    <row r="662" ht="15.75" customHeight="1">
      <c r="C662" s="91"/>
    </row>
    <row r="663" ht="15.75" customHeight="1">
      <c r="C663" s="91"/>
    </row>
    <row r="664" ht="15.75" customHeight="1">
      <c r="C664" s="91"/>
    </row>
    <row r="665" ht="15.75" customHeight="1">
      <c r="C665" s="91"/>
    </row>
    <row r="666" ht="15.75" customHeight="1">
      <c r="C666" s="91"/>
    </row>
    <row r="667" ht="15.75" customHeight="1">
      <c r="C667" s="91"/>
    </row>
    <row r="668" ht="15.75" customHeight="1">
      <c r="C668" s="91"/>
    </row>
    <row r="669" ht="15.75" customHeight="1">
      <c r="C669" s="91"/>
    </row>
    <row r="670" ht="15.75" customHeight="1">
      <c r="C670" s="91"/>
    </row>
    <row r="671" ht="15.75" customHeight="1">
      <c r="C671" s="91"/>
    </row>
    <row r="672" ht="15.75" customHeight="1">
      <c r="C672" s="91"/>
    </row>
    <row r="673" ht="15.75" customHeight="1">
      <c r="C673" s="91"/>
    </row>
    <row r="674" ht="15.75" customHeight="1">
      <c r="C674" s="91"/>
    </row>
    <row r="675" ht="15.75" customHeight="1">
      <c r="C675" s="91"/>
    </row>
    <row r="676" ht="15.75" customHeight="1">
      <c r="C676" s="91"/>
    </row>
    <row r="677" ht="15.75" customHeight="1">
      <c r="C677" s="91"/>
    </row>
    <row r="678" ht="15.75" customHeight="1">
      <c r="C678" s="91"/>
    </row>
    <row r="679" ht="15.75" customHeight="1">
      <c r="C679" s="91"/>
    </row>
    <row r="680" ht="15.75" customHeight="1">
      <c r="C680" s="91"/>
    </row>
    <row r="681" ht="15.75" customHeight="1">
      <c r="C681" s="91"/>
    </row>
    <row r="682" ht="15.75" customHeight="1">
      <c r="C682" s="91"/>
    </row>
    <row r="683" ht="15.75" customHeight="1">
      <c r="C683" s="91"/>
    </row>
    <row r="684" ht="15.75" customHeight="1">
      <c r="C684" s="91"/>
    </row>
    <row r="685" ht="15.75" customHeight="1">
      <c r="C685" s="91"/>
    </row>
    <row r="686" ht="15.75" customHeight="1">
      <c r="C686" s="91"/>
    </row>
    <row r="687" ht="15.75" customHeight="1">
      <c r="C687" s="91"/>
    </row>
    <row r="688" ht="15.75" customHeight="1">
      <c r="C688" s="91"/>
    </row>
    <row r="689" ht="15.75" customHeight="1">
      <c r="C689" s="91"/>
    </row>
    <row r="690" ht="15.75" customHeight="1">
      <c r="C690" s="91"/>
    </row>
    <row r="691" ht="15.75" customHeight="1">
      <c r="C691" s="91"/>
    </row>
    <row r="692" ht="15.75" customHeight="1">
      <c r="C692" s="91"/>
    </row>
    <row r="693" ht="15.75" customHeight="1">
      <c r="C693" s="91"/>
    </row>
    <row r="694" ht="15.75" customHeight="1">
      <c r="C694" s="91"/>
    </row>
    <row r="695" ht="15.75" customHeight="1">
      <c r="C695" s="91"/>
    </row>
    <row r="696" ht="15.75" customHeight="1">
      <c r="C696" s="91"/>
    </row>
    <row r="697" ht="15.75" customHeight="1">
      <c r="C697" s="91"/>
    </row>
    <row r="698" ht="15.75" customHeight="1">
      <c r="C698" s="91"/>
    </row>
    <row r="699" ht="15.75" customHeight="1">
      <c r="C699" s="91"/>
    </row>
    <row r="700" ht="15.75" customHeight="1">
      <c r="C700" s="91"/>
    </row>
    <row r="701" ht="15.75" customHeight="1">
      <c r="C701" s="91"/>
    </row>
    <row r="702" ht="15.75" customHeight="1">
      <c r="C702" s="91"/>
    </row>
    <row r="703" ht="15.75" customHeight="1">
      <c r="C703" s="91"/>
    </row>
    <row r="704" ht="15.75" customHeight="1">
      <c r="C704" s="91"/>
    </row>
    <row r="705" ht="15.75" customHeight="1">
      <c r="C705" s="91"/>
    </row>
    <row r="706" ht="15.75" customHeight="1">
      <c r="C706" s="91"/>
    </row>
    <row r="707" ht="15.75" customHeight="1">
      <c r="C707" s="91"/>
    </row>
    <row r="708" ht="15.75" customHeight="1">
      <c r="C708" s="91"/>
    </row>
    <row r="709" ht="15.75" customHeight="1">
      <c r="C709" s="91"/>
    </row>
    <row r="710" ht="15.75" customHeight="1">
      <c r="C710" s="91"/>
    </row>
    <row r="711" ht="15.75" customHeight="1">
      <c r="C711" s="91"/>
    </row>
    <row r="712" ht="15.75" customHeight="1">
      <c r="C712" s="91"/>
    </row>
    <row r="713" ht="15.75" customHeight="1">
      <c r="C713" s="91"/>
    </row>
    <row r="714" ht="15.75" customHeight="1">
      <c r="C714" s="91"/>
    </row>
    <row r="715" ht="15.75" customHeight="1">
      <c r="C715" s="91"/>
    </row>
    <row r="716" ht="15.75" customHeight="1">
      <c r="C716" s="91"/>
    </row>
    <row r="717" ht="15.75" customHeight="1">
      <c r="C717" s="91"/>
    </row>
    <row r="718" ht="15.75" customHeight="1">
      <c r="C718" s="91"/>
    </row>
    <row r="719" ht="15.75" customHeight="1">
      <c r="C719" s="91"/>
    </row>
    <row r="720" ht="15.75" customHeight="1">
      <c r="C720" s="91"/>
    </row>
    <row r="721" ht="15.75" customHeight="1">
      <c r="C721" s="91"/>
    </row>
    <row r="722" ht="15.75" customHeight="1">
      <c r="C722" s="91"/>
    </row>
    <row r="723" ht="15.75" customHeight="1">
      <c r="C723" s="91"/>
    </row>
    <row r="724" ht="15.75" customHeight="1">
      <c r="C724" s="91"/>
    </row>
    <row r="725" ht="15.75" customHeight="1">
      <c r="C725" s="91"/>
    </row>
    <row r="726" ht="15.75" customHeight="1">
      <c r="C726" s="91"/>
    </row>
    <row r="727" ht="15.75" customHeight="1">
      <c r="C727" s="91"/>
    </row>
    <row r="728" ht="15.75" customHeight="1">
      <c r="C728" s="91"/>
    </row>
    <row r="729" ht="15.75" customHeight="1">
      <c r="C729" s="91"/>
    </row>
    <row r="730" ht="15.75" customHeight="1">
      <c r="C730" s="91"/>
    </row>
    <row r="731" ht="15.75" customHeight="1">
      <c r="C731" s="91"/>
    </row>
    <row r="732" ht="15.75" customHeight="1">
      <c r="C732" s="91"/>
    </row>
    <row r="733" ht="15.75" customHeight="1">
      <c r="C733" s="91"/>
    </row>
    <row r="734" ht="15.75" customHeight="1">
      <c r="C734" s="91"/>
    </row>
    <row r="735" ht="15.75" customHeight="1">
      <c r="C735" s="91"/>
    </row>
    <row r="736" ht="15.75" customHeight="1">
      <c r="C736" s="91"/>
    </row>
    <row r="737" ht="15.75" customHeight="1">
      <c r="C737" s="91"/>
    </row>
    <row r="738" ht="15.75" customHeight="1">
      <c r="C738" s="91"/>
    </row>
    <row r="739" ht="15.75" customHeight="1">
      <c r="C739" s="91"/>
    </row>
    <row r="740" ht="15.75" customHeight="1">
      <c r="C740" s="91"/>
    </row>
    <row r="741" ht="15.75" customHeight="1">
      <c r="C741" s="91"/>
    </row>
    <row r="742" ht="15.75" customHeight="1">
      <c r="C742" s="91"/>
    </row>
    <row r="743" ht="15.75" customHeight="1">
      <c r="C743" s="91"/>
    </row>
    <row r="744" ht="15.75" customHeight="1">
      <c r="C744" s="91"/>
    </row>
    <row r="745" ht="15.75" customHeight="1">
      <c r="C745" s="91"/>
    </row>
    <row r="746" ht="15.75" customHeight="1">
      <c r="C746" s="91"/>
    </row>
    <row r="747" ht="15.75" customHeight="1">
      <c r="C747" s="91"/>
    </row>
    <row r="748" ht="15.75" customHeight="1">
      <c r="C748" s="91"/>
    </row>
    <row r="749" ht="15.75" customHeight="1">
      <c r="C749" s="91"/>
    </row>
    <row r="750" ht="15.75" customHeight="1">
      <c r="C750" s="91"/>
    </row>
    <row r="751" ht="15.75" customHeight="1">
      <c r="C751" s="91"/>
    </row>
    <row r="752" ht="15.75" customHeight="1">
      <c r="C752" s="91"/>
    </row>
    <row r="753" ht="15.75" customHeight="1">
      <c r="C753" s="91"/>
    </row>
    <row r="754" ht="15.75" customHeight="1">
      <c r="C754" s="91"/>
    </row>
    <row r="755" ht="15.75" customHeight="1">
      <c r="C755" s="91"/>
    </row>
    <row r="756" ht="15.75" customHeight="1">
      <c r="C756" s="91"/>
    </row>
    <row r="757" ht="15.75" customHeight="1">
      <c r="C757" s="91"/>
    </row>
    <row r="758" ht="15.75" customHeight="1">
      <c r="C758" s="91"/>
    </row>
    <row r="759" ht="15.75" customHeight="1">
      <c r="C759" s="91"/>
    </row>
    <row r="760" ht="15.75" customHeight="1">
      <c r="C760" s="91"/>
    </row>
    <row r="761" ht="15.75" customHeight="1">
      <c r="C761" s="91"/>
    </row>
    <row r="762" ht="15.75" customHeight="1">
      <c r="C762" s="91"/>
    </row>
    <row r="763" ht="15.75" customHeight="1">
      <c r="C763" s="91"/>
    </row>
    <row r="764" ht="15.75" customHeight="1">
      <c r="C764" s="91"/>
    </row>
    <row r="765" ht="15.75" customHeight="1">
      <c r="C765" s="91"/>
    </row>
    <row r="766" ht="15.75" customHeight="1">
      <c r="C766" s="91"/>
    </row>
    <row r="767" ht="15.75" customHeight="1">
      <c r="C767" s="91"/>
    </row>
    <row r="768" ht="15.75" customHeight="1">
      <c r="C768" s="91"/>
    </row>
    <row r="769" ht="15.75" customHeight="1">
      <c r="C769" s="91"/>
    </row>
    <row r="770" ht="15.75" customHeight="1">
      <c r="C770" s="91"/>
    </row>
    <row r="771" ht="15.75" customHeight="1">
      <c r="C771" s="91"/>
    </row>
    <row r="772" ht="15.75" customHeight="1">
      <c r="C772" s="91"/>
    </row>
    <row r="773" ht="15.75" customHeight="1">
      <c r="C773" s="91"/>
    </row>
    <row r="774" ht="15.75" customHeight="1">
      <c r="C774" s="91"/>
    </row>
    <row r="775" ht="15.75" customHeight="1">
      <c r="C775" s="91"/>
    </row>
    <row r="776" ht="15.75" customHeight="1">
      <c r="C776" s="91"/>
    </row>
    <row r="777" ht="15.75" customHeight="1">
      <c r="C777" s="91"/>
    </row>
    <row r="778" ht="15.75" customHeight="1">
      <c r="C778" s="91"/>
    </row>
    <row r="779" ht="15.75" customHeight="1">
      <c r="C779" s="91"/>
    </row>
    <row r="780" ht="15.75" customHeight="1">
      <c r="C780" s="91"/>
    </row>
    <row r="781" ht="15.75" customHeight="1">
      <c r="C781" s="91"/>
    </row>
    <row r="782" ht="15.75" customHeight="1">
      <c r="C782" s="91"/>
    </row>
    <row r="783" ht="15.75" customHeight="1">
      <c r="C783" s="91"/>
    </row>
    <row r="784" ht="15.75" customHeight="1">
      <c r="C784" s="91"/>
    </row>
    <row r="785" ht="15.75" customHeight="1">
      <c r="C785" s="91"/>
    </row>
    <row r="786" ht="15.75" customHeight="1">
      <c r="C786" s="91"/>
    </row>
    <row r="787" ht="15.75" customHeight="1">
      <c r="C787" s="91"/>
    </row>
    <row r="788" ht="15.75" customHeight="1">
      <c r="C788" s="91"/>
    </row>
    <row r="789" ht="15.75" customHeight="1">
      <c r="C789" s="91"/>
    </row>
    <row r="790" ht="15.75" customHeight="1">
      <c r="C790" s="91"/>
    </row>
    <row r="791" ht="15.75" customHeight="1">
      <c r="C791" s="91"/>
    </row>
    <row r="792" ht="15.75" customHeight="1">
      <c r="C792" s="91"/>
    </row>
    <row r="793" ht="15.75" customHeight="1">
      <c r="C793" s="91"/>
    </row>
    <row r="794" ht="15.75" customHeight="1">
      <c r="C794" s="91"/>
    </row>
    <row r="795" ht="15.75" customHeight="1">
      <c r="C795" s="91"/>
    </row>
    <row r="796" ht="15.75" customHeight="1">
      <c r="C796" s="91"/>
    </row>
    <row r="797" ht="15.75" customHeight="1">
      <c r="C797" s="91"/>
    </row>
    <row r="798" ht="15.75" customHeight="1">
      <c r="C798" s="91"/>
    </row>
    <row r="799" ht="15.75" customHeight="1">
      <c r="C799" s="91"/>
    </row>
    <row r="800" ht="15.75" customHeight="1">
      <c r="C800" s="91"/>
    </row>
    <row r="801" ht="15.75" customHeight="1">
      <c r="C801" s="91"/>
    </row>
    <row r="802" ht="15.75" customHeight="1">
      <c r="C802" s="91"/>
    </row>
    <row r="803" ht="15.75" customHeight="1">
      <c r="C803" s="91"/>
    </row>
    <row r="804" ht="15.75" customHeight="1">
      <c r="C804" s="91"/>
    </row>
    <row r="805" ht="15.75" customHeight="1">
      <c r="C805" s="91"/>
    </row>
    <row r="806" ht="15.75" customHeight="1">
      <c r="C806" s="91"/>
    </row>
    <row r="807" ht="15.75" customHeight="1">
      <c r="C807" s="91"/>
    </row>
    <row r="808" ht="15.75" customHeight="1">
      <c r="C808" s="91"/>
    </row>
    <row r="809" ht="15.75" customHeight="1">
      <c r="C809" s="91"/>
    </row>
    <row r="810" ht="15.75" customHeight="1">
      <c r="C810" s="91"/>
    </row>
    <row r="811" ht="15.75" customHeight="1">
      <c r="C811" s="91"/>
    </row>
    <row r="812" ht="15.75" customHeight="1">
      <c r="C812" s="91"/>
    </row>
    <row r="813" ht="15.75" customHeight="1">
      <c r="C813" s="91"/>
    </row>
    <row r="814" ht="15.75" customHeight="1">
      <c r="C814" s="91"/>
    </row>
    <row r="815" ht="15.75" customHeight="1">
      <c r="C815" s="91"/>
    </row>
    <row r="816" ht="15.75" customHeight="1">
      <c r="C816" s="91"/>
    </row>
    <row r="817" ht="15.75" customHeight="1">
      <c r="C817" s="91"/>
    </row>
    <row r="818" ht="15.75" customHeight="1">
      <c r="C818" s="91"/>
    </row>
    <row r="819" ht="15.75" customHeight="1">
      <c r="C819" s="91"/>
    </row>
    <row r="820" ht="15.75" customHeight="1">
      <c r="C820" s="91"/>
    </row>
    <row r="821" ht="15.75" customHeight="1">
      <c r="C821" s="91"/>
    </row>
    <row r="822" ht="15.75" customHeight="1">
      <c r="C822" s="91"/>
    </row>
    <row r="823" ht="15.75" customHeight="1">
      <c r="C823" s="91"/>
    </row>
    <row r="824" ht="15.75" customHeight="1">
      <c r="C824" s="91"/>
    </row>
    <row r="825" ht="15.75" customHeight="1">
      <c r="C825" s="91"/>
    </row>
    <row r="826" ht="15.75" customHeight="1">
      <c r="C826" s="91"/>
    </row>
    <row r="827" ht="15.75" customHeight="1">
      <c r="C827" s="91"/>
    </row>
    <row r="828" ht="15.75" customHeight="1">
      <c r="C828" s="91"/>
    </row>
    <row r="829" ht="15.75" customHeight="1">
      <c r="C829" s="91"/>
    </row>
    <row r="830" ht="15.75" customHeight="1">
      <c r="C830" s="91"/>
    </row>
    <row r="831" ht="15.75" customHeight="1">
      <c r="C831" s="91"/>
    </row>
    <row r="832" ht="15.75" customHeight="1">
      <c r="C832" s="91"/>
    </row>
    <row r="833" ht="15.75" customHeight="1">
      <c r="C833" s="91"/>
    </row>
    <row r="834" ht="15.75" customHeight="1">
      <c r="C834" s="91"/>
    </row>
    <row r="835" ht="15.75" customHeight="1">
      <c r="C835" s="91"/>
    </row>
    <row r="836" ht="15.75" customHeight="1">
      <c r="C836" s="91"/>
    </row>
    <row r="837" ht="15.75" customHeight="1">
      <c r="C837" s="91"/>
    </row>
    <row r="838" ht="15.75" customHeight="1">
      <c r="C838" s="91"/>
    </row>
    <row r="839" ht="15.75" customHeight="1">
      <c r="C839" s="91"/>
    </row>
    <row r="840" ht="15.75" customHeight="1">
      <c r="C840" s="91"/>
    </row>
    <row r="841" ht="15.75" customHeight="1">
      <c r="C841" s="91"/>
    </row>
    <row r="842" ht="15.75" customHeight="1">
      <c r="C842" s="91"/>
    </row>
    <row r="843" ht="15.75" customHeight="1">
      <c r="C843" s="91"/>
    </row>
    <row r="844" ht="15.75" customHeight="1">
      <c r="C844" s="91"/>
    </row>
    <row r="845" ht="15.75" customHeight="1">
      <c r="C845" s="91"/>
    </row>
    <row r="846" ht="15.75" customHeight="1">
      <c r="C846" s="91"/>
    </row>
    <row r="847" ht="15.75" customHeight="1">
      <c r="C847" s="91"/>
    </row>
    <row r="848" ht="15.75" customHeight="1">
      <c r="C848" s="91"/>
    </row>
    <row r="849" ht="15.75" customHeight="1">
      <c r="C849" s="91"/>
    </row>
    <row r="850" ht="15.75" customHeight="1">
      <c r="C850" s="91"/>
    </row>
    <row r="851" ht="15.75" customHeight="1">
      <c r="C851" s="91"/>
    </row>
    <row r="852" ht="15.75" customHeight="1">
      <c r="C852" s="91"/>
    </row>
    <row r="853" ht="15.75" customHeight="1">
      <c r="C853" s="91"/>
    </row>
    <row r="854" ht="15.75" customHeight="1">
      <c r="C854" s="91"/>
    </row>
    <row r="855" ht="15.75" customHeight="1">
      <c r="C855" s="91"/>
    </row>
    <row r="856" ht="15.75" customHeight="1">
      <c r="C856" s="91"/>
    </row>
    <row r="857" ht="15.75" customHeight="1">
      <c r="C857" s="91"/>
    </row>
    <row r="858" ht="15.75" customHeight="1">
      <c r="C858" s="91"/>
    </row>
    <row r="859" ht="15.75" customHeight="1">
      <c r="C859" s="91"/>
    </row>
    <row r="860" ht="15.75" customHeight="1">
      <c r="C860" s="91"/>
    </row>
    <row r="861" ht="15.75" customHeight="1">
      <c r="C861" s="91"/>
    </row>
    <row r="862" ht="15.75" customHeight="1">
      <c r="C862" s="91"/>
    </row>
    <row r="863" ht="15.75" customHeight="1">
      <c r="C863" s="91"/>
    </row>
    <row r="864" ht="15.75" customHeight="1">
      <c r="C864" s="91"/>
    </row>
    <row r="865" ht="15.75" customHeight="1">
      <c r="C865" s="91"/>
    </row>
    <row r="866" ht="15.75" customHeight="1">
      <c r="C866" s="91"/>
    </row>
    <row r="867" ht="15.75" customHeight="1">
      <c r="C867" s="91"/>
    </row>
    <row r="868" ht="15.75" customHeight="1">
      <c r="C868" s="91"/>
    </row>
    <row r="869" ht="15.75" customHeight="1">
      <c r="C869" s="91"/>
    </row>
    <row r="870" ht="15.75" customHeight="1">
      <c r="C870" s="91"/>
    </row>
    <row r="871" ht="15.75" customHeight="1">
      <c r="C871" s="91"/>
    </row>
    <row r="872" ht="15.75" customHeight="1">
      <c r="C872" s="91"/>
    </row>
    <row r="873" ht="15.75" customHeight="1">
      <c r="C873" s="91"/>
    </row>
    <row r="874" ht="15.75" customHeight="1">
      <c r="C874" s="91"/>
    </row>
    <row r="875" ht="15.75" customHeight="1">
      <c r="C875" s="91"/>
    </row>
    <row r="876" ht="15.75" customHeight="1">
      <c r="C876" s="91"/>
    </row>
    <row r="877" ht="15.75" customHeight="1">
      <c r="C877" s="91"/>
    </row>
    <row r="878" ht="15.75" customHeight="1">
      <c r="C878" s="91"/>
    </row>
    <row r="879" ht="15.75" customHeight="1">
      <c r="C879" s="91"/>
    </row>
    <row r="880" ht="15.75" customHeight="1">
      <c r="C880" s="91"/>
    </row>
    <row r="881" ht="15.75" customHeight="1">
      <c r="C881" s="91"/>
    </row>
    <row r="882" ht="15.75" customHeight="1">
      <c r="C882" s="91"/>
    </row>
    <row r="883" ht="15.75" customHeight="1">
      <c r="C883" s="91"/>
    </row>
    <row r="884" ht="15.75" customHeight="1">
      <c r="C884" s="91"/>
    </row>
    <row r="885" ht="15.75" customHeight="1">
      <c r="C885" s="91"/>
    </row>
    <row r="886" ht="15.75" customHeight="1">
      <c r="C886" s="91"/>
    </row>
    <row r="887" ht="15.75" customHeight="1">
      <c r="C887" s="91"/>
    </row>
    <row r="888" ht="15.75" customHeight="1">
      <c r="C888" s="91"/>
    </row>
    <row r="889" ht="15.75" customHeight="1">
      <c r="C889" s="91"/>
    </row>
    <row r="890" ht="15.75" customHeight="1">
      <c r="C890" s="91"/>
    </row>
    <row r="891" ht="15.75" customHeight="1">
      <c r="C891" s="91"/>
    </row>
    <row r="892" ht="15.75" customHeight="1">
      <c r="C892" s="91"/>
    </row>
    <row r="893" ht="15.75" customHeight="1">
      <c r="C893" s="91"/>
    </row>
    <row r="894" ht="15.75" customHeight="1">
      <c r="C894" s="91"/>
    </row>
    <row r="895" ht="15.75" customHeight="1">
      <c r="C895" s="91"/>
    </row>
    <row r="896" ht="15.75" customHeight="1">
      <c r="C896" s="91"/>
    </row>
    <row r="897" ht="15.75" customHeight="1">
      <c r="C897" s="91"/>
    </row>
    <row r="898" ht="15.75" customHeight="1">
      <c r="C898" s="91"/>
    </row>
    <row r="899" ht="15.75" customHeight="1">
      <c r="C899" s="91"/>
    </row>
    <row r="900" ht="15.75" customHeight="1">
      <c r="C900" s="91"/>
    </row>
    <row r="901" ht="15.75" customHeight="1">
      <c r="C901" s="91"/>
    </row>
    <row r="902" ht="15.75" customHeight="1">
      <c r="C902" s="91"/>
    </row>
    <row r="903" ht="15.75" customHeight="1">
      <c r="C903" s="91"/>
    </row>
    <row r="904" ht="15.75" customHeight="1">
      <c r="C904" s="91"/>
    </row>
    <row r="905" ht="15.75" customHeight="1">
      <c r="C905" s="91"/>
    </row>
    <row r="906" ht="15.75" customHeight="1">
      <c r="C906" s="91"/>
    </row>
    <row r="907" ht="15.75" customHeight="1">
      <c r="C907" s="91"/>
    </row>
    <row r="908" ht="15.75" customHeight="1">
      <c r="C908" s="91"/>
    </row>
    <row r="909" ht="15.75" customHeight="1">
      <c r="C909" s="91"/>
    </row>
    <row r="910" ht="15.75" customHeight="1">
      <c r="C910" s="91"/>
    </row>
    <row r="911" ht="15.75" customHeight="1">
      <c r="C911" s="91"/>
    </row>
    <row r="912" ht="15.75" customHeight="1">
      <c r="C912" s="91"/>
    </row>
    <row r="913" ht="15.75" customHeight="1">
      <c r="C913" s="91"/>
    </row>
    <row r="914" ht="15.75" customHeight="1">
      <c r="C914" s="91"/>
    </row>
    <row r="915" ht="15.75" customHeight="1">
      <c r="C915" s="91"/>
    </row>
    <row r="916" ht="15.75" customHeight="1">
      <c r="C916" s="91"/>
    </row>
    <row r="917" ht="15.75" customHeight="1">
      <c r="C917" s="91"/>
    </row>
    <row r="918" ht="15.75" customHeight="1">
      <c r="C918" s="91"/>
    </row>
    <row r="919" ht="15.75" customHeight="1">
      <c r="C919" s="91"/>
    </row>
    <row r="920" ht="15.75" customHeight="1">
      <c r="C920" s="91"/>
    </row>
    <row r="921" ht="15.75" customHeight="1">
      <c r="C921" s="91"/>
    </row>
    <row r="922" ht="15.75" customHeight="1">
      <c r="C922" s="91"/>
    </row>
    <row r="923" ht="15.75" customHeight="1">
      <c r="C923" s="91"/>
    </row>
    <row r="924" ht="15.75" customHeight="1">
      <c r="C924" s="91"/>
    </row>
    <row r="925" ht="15.75" customHeight="1">
      <c r="C925" s="91"/>
    </row>
    <row r="926" ht="15.75" customHeight="1">
      <c r="C926" s="91"/>
    </row>
    <row r="927" ht="15.75" customHeight="1">
      <c r="C927" s="91"/>
    </row>
    <row r="928" ht="15.75" customHeight="1">
      <c r="C928" s="91"/>
    </row>
    <row r="929" ht="15.75" customHeight="1">
      <c r="C929" s="91"/>
    </row>
    <row r="930" ht="15.75" customHeight="1">
      <c r="C930" s="91"/>
    </row>
    <row r="931" ht="15.75" customHeight="1">
      <c r="C931" s="91"/>
    </row>
    <row r="932" ht="15.75" customHeight="1">
      <c r="C932" s="91"/>
    </row>
    <row r="933" ht="15.75" customHeight="1">
      <c r="C933" s="91"/>
    </row>
    <row r="934" ht="15.75" customHeight="1">
      <c r="C934" s="91"/>
    </row>
    <row r="935" ht="15.75" customHeight="1">
      <c r="C935" s="91"/>
    </row>
    <row r="936" ht="15.75" customHeight="1">
      <c r="C936" s="91"/>
    </row>
    <row r="937" ht="15.75" customHeight="1">
      <c r="C937" s="91"/>
    </row>
    <row r="938" ht="15.75" customHeight="1">
      <c r="C938" s="91"/>
    </row>
    <row r="939" ht="15.75" customHeight="1">
      <c r="C939" s="91"/>
    </row>
    <row r="940" ht="15.75" customHeight="1">
      <c r="C940" s="91"/>
    </row>
    <row r="941" ht="15.75" customHeight="1">
      <c r="C941" s="91"/>
    </row>
    <row r="942" ht="15.75" customHeight="1">
      <c r="C942" s="91"/>
    </row>
    <row r="943" ht="15.75" customHeight="1">
      <c r="C943" s="91"/>
    </row>
    <row r="944" ht="15.75" customHeight="1">
      <c r="C944" s="91"/>
    </row>
    <row r="945" ht="15.75" customHeight="1">
      <c r="C945" s="91"/>
    </row>
    <row r="946" ht="15.75" customHeight="1">
      <c r="C946" s="91"/>
    </row>
    <row r="947" ht="15.75" customHeight="1">
      <c r="C947" s="91"/>
    </row>
    <row r="948" ht="15.75" customHeight="1">
      <c r="C948" s="91"/>
    </row>
    <row r="949" ht="15.75" customHeight="1">
      <c r="C949" s="91"/>
    </row>
    <row r="950" ht="15.75" customHeight="1">
      <c r="C950" s="91"/>
    </row>
    <row r="951" ht="15.75" customHeight="1">
      <c r="C951" s="91"/>
    </row>
    <row r="952" ht="15.75" customHeight="1">
      <c r="C952" s="91"/>
    </row>
    <row r="953" ht="15.75" customHeight="1">
      <c r="C953" s="91"/>
    </row>
    <row r="954" ht="15.75" customHeight="1">
      <c r="C954" s="91"/>
    </row>
    <row r="955" ht="15.75" customHeight="1">
      <c r="C955" s="91"/>
    </row>
    <row r="956" ht="15.75" customHeight="1">
      <c r="C956" s="91"/>
    </row>
    <row r="957" ht="15.75" customHeight="1">
      <c r="C957" s="91"/>
    </row>
    <row r="958" ht="15.75" customHeight="1">
      <c r="C958" s="91"/>
    </row>
    <row r="959" ht="15.75" customHeight="1">
      <c r="C959" s="91"/>
    </row>
    <row r="960" ht="15.75" customHeight="1">
      <c r="C960" s="91"/>
    </row>
    <row r="961" ht="15.75" customHeight="1">
      <c r="C961" s="91"/>
    </row>
    <row r="962" ht="15.75" customHeight="1">
      <c r="C962" s="91"/>
    </row>
    <row r="963" ht="15.75" customHeight="1">
      <c r="C963" s="91"/>
    </row>
    <row r="964" ht="15.75" customHeight="1">
      <c r="C964" s="91"/>
    </row>
    <row r="965" ht="15.75" customHeight="1">
      <c r="C965" s="91"/>
    </row>
    <row r="966" ht="15.75" customHeight="1">
      <c r="C966" s="91"/>
    </row>
    <row r="967" ht="15.75" customHeight="1">
      <c r="C967" s="91"/>
    </row>
    <row r="968" ht="15.75" customHeight="1">
      <c r="C968" s="91"/>
    </row>
    <row r="969" ht="15.75" customHeight="1">
      <c r="C969" s="91"/>
    </row>
    <row r="970" ht="15.75" customHeight="1">
      <c r="C970" s="91"/>
    </row>
    <row r="971" ht="15.75" customHeight="1">
      <c r="C971" s="91"/>
    </row>
    <row r="972" ht="15.75" customHeight="1">
      <c r="C972" s="91"/>
    </row>
    <row r="973" ht="15.75" customHeight="1">
      <c r="C973" s="91"/>
    </row>
    <row r="974" ht="15.75" customHeight="1">
      <c r="C974" s="91"/>
    </row>
    <row r="975" ht="15.75" customHeight="1">
      <c r="C975" s="91"/>
    </row>
    <row r="976" ht="15.75" customHeight="1">
      <c r="C976" s="91"/>
    </row>
    <row r="977" ht="15.75" customHeight="1">
      <c r="C977" s="91"/>
    </row>
    <row r="978" ht="15.75" customHeight="1">
      <c r="C978" s="91"/>
    </row>
    <row r="979" ht="15.75" customHeight="1">
      <c r="C979" s="91"/>
    </row>
    <row r="980" ht="15.75" customHeight="1">
      <c r="C980" s="91"/>
    </row>
    <row r="981" ht="15.75" customHeight="1">
      <c r="C981" s="91"/>
    </row>
    <row r="982" ht="15.75" customHeight="1">
      <c r="C982" s="91"/>
    </row>
    <row r="983" ht="15.75" customHeight="1">
      <c r="C983" s="91"/>
    </row>
    <row r="984" ht="15.75" customHeight="1">
      <c r="C984" s="91"/>
    </row>
    <row r="985" ht="15.75" customHeight="1">
      <c r="C985" s="91"/>
    </row>
    <row r="986" ht="15.75" customHeight="1">
      <c r="C986" s="91"/>
    </row>
    <row r="987" ht="15.75" customHeight="1">
      <c r="C987" s="91"/>
    </row>
    <row r="988" ht="15.75" customHeight="1">
      <c r="C988" s="91"/>
    </row>
    <row r="989" ht="15.75" customHeight="1">
      <c r="C989" s="91"/>
    </row>
    <row r="990" ht="15.75" customHeight="1">
      <c r="C990" s="91"/>
    </row>
    <row r="991" ht="15.75" customHeight="1">
      <c r="C991" s="91"/>
    </row>
    <row r="992" ht="15.75" customHeight="1">
      <c r="C992" s="91"/>
    </row>
    <row r="993" ht="15.75" customHeight="1">
      <c r="C993" s="91"/>
    </row>
    <row r="994" ht="15.75" customHeight="1">
      <c r="C994" s="91"/>
    </row>
    <row r="995" ht="15.75" customHeight="1">
      <c r="C995" s="91"/>
    </row>
    <row r="996" ht="15.75" customHeight="1">
      <c r="C996" s="91"/>
    </row>
    <row r="997" ht="15.75" customHeight="1">
      <c r="C997" s="91"/>
    </row>
    <row r="998" ht="15.75" customHeight="1">
      <c r="C998" s="91"/>
    </row>
  </sheetData>
  <mergeCells count="17">
    <mergeCell ref="B6:B7"/>
    <mergeCell ref="C6:C7"/>
    <mergeCell ref="D6:F6"/>
    <mergeCell ref="G6:I6"/>
    <mergeCell ref="M6:O6"/>
    <mergeCell ref="P6:S6"/>
    <mergeCell ref="T6:W6"/>
    <mergeCell ref="X6:AB6"/>
    <mergeCell ref="AC6:AF6"/>
    <mergeCell ref="AG6:AG7"/>
    <mergeCell ref="A1:AG1"/>
    <mergeCell ref="C3:P3"/>
    <mergeCell ref="Q3:U3"/>
    <mergeCell ref="V3:AE3"/>
    <mergeCell ref="C4:P4"/>
    <mergeCell ref="V4:AE4"/>
    <mergeCell ref="A6:A7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0"/>
    <col customWidth="1" min="2" max="2" width="50.89"/>
    <col customWidth="1" min="3" max="3" width="4.11"/>
    <col customWidth="1" min="4" max="6" width="4.0"/>
    <col customWidth="1" min="7" max="8" width="4.11"/>
    <col customWidth="1" min="9" max="9" width="4.33"/>
    <col customWidth="1" min="10" max="10" width="4.0"/>
    <col customWidth="1" min="11" max="11" width="4.33"/>
    <col customWidth="1" min="12" max="12" width="4.11"/>
    <col customWidth="1" min="13" max="13" width="4.0"/>
    <col customWidth="1" min="14" max="14" width="3.78"/>
    <col customWidth="1" min="15" max="15" width="4.33"/>
    <col customWidth="1" min="16" max="16" width="4.44"/>
    <col customWidth="1" min="17" max="17" width="4.33"/>
    <col customWidth="1" min="18" max="18" width="4.44"/>
    <col customWidth="1" min="19" max="19" width="4.67"/>
    <col customWidth="1" min="20" max="22" width="4.33"/>
    <col customWidth="1" min="23" max="23" width="4.0"/>
    <col customWidth="1" min="24" max="26" width="4.33"/>
    <col customWidth="1" min="27" max="27" width="4.11"/>
    <col customWidth="1" min="28" max="29" width="4.0"/>
    <col customWidth="1" min="30" max="30" width="4.11"/>
    <col customWidth="1" min="31" max="31" width="4.33"/>
    <col customWidth="1" min="32" max="32" width="4.0"/>
    <col customWidth="1" min="33" max="33" width="4.33"/>
    <col customWidth="1" min="34" max="34" width="4.44"/>
    <col customWidth="1" min="35" max="35" width="7.0"/>
  </cols>
  <sheetData>
    <row r="1" ht="24.75" customHeight="1">
      <c r="A1" s="173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ht="15.75" customHeight="1">
      <c r="A2" s="4"/>
      <c r="B2" s="5"/>
      <c r="C2" s="311"/>
      <c r="D2" s="5"/>
      <c r="E2" s="5"/>
      <c r="F2" s="5"/>
      <c r="G2" s="5"/>
      <c r="H2" s="5"/>
      <c r="I2" s="5"/>
      <c r="J2" s="5"/>
      <c r="K2" s="5"/>
      <c r="L2" s="5"/>
      <c r="M2" s="5"/>
      <c r="AI2" s="7"/>
    </row>
    <row r="3" ht="24.75" customHeight="1">
      <c r="A3" s="4"/>
      <c r="B3" s="9" t="s">
        <v>1</v>
      </c>
      <c r="C3" s="10" t="s">
        <v>2</v>
      </c>
      <c r="Q3" s="9" t="s">
        <v>3</v>
      </c>
      <c r="V3" s="11" t="s">
        <v>193</v>
      </c>
      <c r="AI3" s="7"/>
    </row>
    <row r="4" ht="22.5" customHeight="1">
      <c r="A4" s="12"/>
      <c r="B4" s="13" t="s">
        <v>5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7</v>
      </c>
      <c r="R4" s="13"/>
      <c r="S4" s="13"/>
      <c r="T4" s="13"/>
      <c r="U4" s="13"/>
      <c r="V4" s="174" t="s">
        <v>194</v>
      </c>
      <c r="W4" s="15"/>
      <c r="X4" s="15"/>
      <c r="Y4" s="15"/>
      <c r="Z4" s="15"/>
      <c r="AA4" s="15"/>
      <c r="AB4" s="15"/>
      <c r="AC4" s="15"/>
      <c r="AD4" s="15"/>
      <c r="AE4" s="15"/>
      <c r="AF4" s="175"/>
      <c r="AG4" s="175"/>
      <c r="AH4" s="17"/>
      <c r="AI4" s="18"/>
    </row>
    <row r="5" ht="15.75" customHeight="1">
      <c r="A5" s="19"/>
      <c r="B5" s="19"/>
      <c r="C5" s="267"/>
    </row>
    <row r="6" ht="16.5" customHeight="1">
      <c r="A6" s="176" t="s">
        <v>9</v>
      </c>
      <c r="B6" s="177" t="s">
        <v>10</v>
      </c>
      <c r="C6" s="178" t="s">
        <v>11</v>
      </c>
      <c r="D6" s="22" t="s">
        <v>12</v>
      </c>
      <c r="E6" s="23"/>
      <c r="F6" s="24"/>
      <c r="G6" s="179" t="s">
        <v>53</v>
      </c>
      <c r="H6" s="23"/>
      <c r="I6" s="23"/>
      <c r="J6" s="180" t="s">
        <v>54</v>
      </c>
      <c r="K6" s="23"/>
      <c r="L6" s="23"/>
      <c r="M6" s="29" t="s">
        <v>55</v>
      </c>
      <c r="N6" s="23"/>
      <c r="O6" s="23"/>
      <c r="P6" s="23"/>
      <c r="Q6" s="181" t="s">
        <v>15</v>
      </c>
      <c r="R6" s="23"/>
      <c r="S6" s="23"/>
      <c r="T6" s="23"/>
      <c r="U6" s="24"/>
      <c r="V6" s="182" t="s">
        <v>16</v>
      </c>
      <c r="W6" s="183"/>
      <c r="X6" s="183"/>
      <c r="Y6" s="184"/>
      <c r="Z6" s="185" t="s">
        <v>17</v>
      </c>
      <c r="AA6" s="183"/>
      <c r="AB6" s="183"/>
      <c r="AC6" s="183"/>
      <c r="AD6" s="183"/>
      <c r="AE6" s="186" t="s">
        <v>18</v>
      </c>
      <c r="AF6" s="23"/>
      <c r="AG6" s="23"/>
      <c r="AH6" s="24"/>
      <c r="AI6" s="187" t="s">
        <v>19</v>
      </c>
    </row>
    <row r="7" ht="51.75" customHeight="1">
      <c r="A7" s="188"/>
      <c r="B7" s="189"/>
      <c r="C7" s="190"/>
      <c r="D7" s="217" t="s">
        <v>56</v>
      </c>
      <c r="E7" s="218" t="s">
        <v>57</v>
      </c>
      <c r="F7" s="219" t="s">
        <v>20</v>
      </c>
      <c r="G7" s="220" t="s">
        <v>56</v>
      </c>
      <c r="H7" s="221" t="s">
        <v>57</v>
      </c>
      <c r="I7" s="222" t="s">
        <v>20</v>
      </c>
      <c r="J7" s="223" t="s">
        <v>58</v>
      </c>
      <c r="K7" s="224" t="s">
        <v>59</v>
      </c>
      <c r="L7" s="225" t="s">
        <v>20</v>
      </c>
      <c r="M7" s="226" t="s">
        <v>60</v>
      </c>
      <c r="N7" s="227" t="s">
        <v>61</v>
      </c>
      <c r="O7" s="227" t="s">
        <v>62</v>
      </c>
      <c r="P7" s="228" t="s">
        <v>20</v>
      </c>
      <c r="Q7" s="229" t="s">
        <v>27</v>
      </c>
      <c r="R7" s="230" t="s">
        <v>63</v>
      </c>
      <c r="S7" s="230" t="s">
        <v>64</v>
      </c>
      <c r="T7" s="230" t="s">
        <v>65</v>
      </c>
      <c r="U7" s="231" t="s">
        <v>20</v>
      </c>
      <c r="V7" s="232" t="s">
        <v>66</v>
      </c>
      <c r="W7" s="233" t="s">
        <v>67</v>
      </c>
      <c r="X7" s="233" t="s">
        <v>68</v>
      </c>
      <c r="Y7" s="234" t="s">
        <v>20</v>
      </c>
      <c r="Z7" s="204" t="s">
        <v>69</v>
      </c>
      <c r="AA7" s="205" t="s">
        <v>70</v>
      </c>
      <c r="AB7" s="205" t="s">
        <v>71</v>
      </c>
      <c r="AC7" s="205" t="s">
        <v>72</v>
      </c>
      <c r="AD7" s="206" t="s">
        <v>20</v>
      </c>
      <c r="AE7" s="37" t="s">
        <v>73</v>
      </c>
      <c r="AF7" s="38" t="s">
        <v>74</v>
      </c>
      <c r="AG7" s="38" t="s">
        <v>75</v>
      </c>
      <c r="AH7" s="240" t="s">
        <v>20</v>
      </c>
      <c r="AI7" s="207"/>
    </row>
    <row r="8" ht="15.75" customHeight="1">
      <c r="A8" s="59">
        <v>1.0</v>
      </c>
      <c r="B8" s="312" t="s">
        <v>195</v>
      </c>
      <c r="C8" s="295" t="s">
        <v>44</v>
      </c>
      <c r="D8" s="155">
        <v>6.0</v>
      </c>
      <c r="E8" s="155">
        <v>5.0</v>
      </c>
      <c r="F8" s="157">
        <f t="shared" ref="F8:F34" si="1">SUM(D8:E8)/2</f>
        <v>5.5</v>
      </c>
      <c r="G8" s="155">
        <v>6.0</v>
      </c>
      <c r="H8" s="155">
        <v>4.0</v>
      </c>
      <c r="I8" s="242">
        <f t="shared" ref="I8:I27" si="2">SUM(G8:H8)/2</f>
        <v>5</v>
      </c>
      <c r="J8" s="156">
        <v>5.0</v>
      </c>
      <c r="K8" s="155">
        <v>5.0</v>
      </c>
      <c r="L8" s="243">
        <f t="shared" ref="L8:L34" si="3">SUM(J8:K8)/2</f>
        <v>5</v>
      </c>
      <c r="M8" s="155">
        <v>4.0</v>
      </c>
      <c r="N8" s="155">
        <v>5.0</v>
      </c>
      <c r="O8" s="156">
        <v>4.0</v>
      </c>
      <c r="P8" s="161">
        <f t="shared" ref="P8:P34" si="4">SUM(N8:O8)/2</f>
        <v>4.5</v>
      </c>
      <c r="Q8" s="155">
        <v>4.0</v>
      </c>
      <c r="R8" s="155">
        <v>4.0</v>
      </c>
      <c r="S8" s="156">
        <v>4.0</v>
      </c>
      <c r="T8" s="155">
        <v>4.0</v>
      </c>
      <c r="U8" s="244">
        <f t="shared" ref="U8:U34" si="5">SUM(R8:T8)/3</f>
        <v>4</v>
      </c>
      <c r="V8" s="155">
        <v>5.0</v>
      </c>
      <c r="W8" s="156">
        <v>4.0</v>
      </c>
      <c r="X8" s="155">
        <v>4.0</v>
      </c>
      <c r="Y8" s="72">
        <f t="shared" ref="Y8:Y34" si="6">SUM(V8:X8)/3</f>
        <v>4.333333333</v>
      </c>
      <c r="Z8" s="62">
        <v>5.0</v>
      </c>
      <c r="AA8" s="62">
        <v>5.0</v>
      </c>
      <c r="AB8" s="63">
        <v>5.0</v>
      </c>
      <c r="AC8" s="250">
        <v>5.0</v>
      </c>
      <c r="AD8" s="212">
        <f t="shared" ref="AD8:AD34" si="7">SUM(Z8:AC8)/4</f>
        <v>5</v>
      </c>
      <c r="AE8" s="213">
        <v>6.0</v>
      </c>
      <c r="AF8" s="63">
        <v>5.0</v>
      </c>
      <c r="AG8" s="63">
        <v>4.0</v>
      </c>
      <c r="AH8" s="248">
        <f t="shared" ref="AH8:AH34" si="8">SUM(AE8:AG8)/3</f>
        <v>5</v>
      </c>
      <c r="AI8" s="249">
        <f t="shared" ref="AI8:AI34" si="9">SUM(AH8,AD8,Y8,U8,Q8,N8,M8,L8,K8,H8)/10</f>
        <v>4.533333333</v>
      </c>
    </row>
    <row r="9" ht="15.75" customHeight="1">
      <c r="A9" s="74">
        <v>2.0</v>
      </c>
      <c r="B9" s="312" t="s">
        <v>196</v>
      </c>
      <c r="C9" s="65" t="s">
        <v>44</v>
      </c>
      <c r="D9" s="62">
        <v>6.0</v>
      </c>
      <c r="E9" s="62">
        <v>6.0</v>
      </c>
      <c r="F9" s="66">
        <f t="shared" si="1"/>
        <v>6</v>
      </c>
      <c r="G9" s="62">
        <v>6.0</v>
      </c>
      <c r="H9" s="62">
        <v>6.0</v>
      </c>
      <c r="I9" s="209">
        <f t="shared" si="2"/>
        <v>6</v>
      </c>
      <c r="J9" s="62">
        <v>6.0</v>
      </c>
      <c r="K9" s="62">
        <v>6.0</v>
      </c>
      <c r="L9" s="210">
        <f t="shared" si="3"/>
        <v>6</v>
      </c>
      <c r="M9" s="62">
        <v>6.0</v>
      </c>
      <c r="N9" s="62">
        <v>5.0</v>
      </c>
      <c r="O9" s="63">
        <v>6.0</v>
      </c>
      <c r="P9" s="71">
        <f t="shared" si="4"/>
        <v>5.5</v>
      </c>
      <c r="Q9" s="62">
        <v>5.0</v>
      </c>
      <c r="R9" s="62">
        <v>5.0</v>
      </c>
      <c r="S9" s="63">
        <v>4.0</v>
      </c>
      <c r="T9" s="62">
        <v>5.0</v>
      </c>
      <c r="U9" s="211">
        <f t="shared" si="5"/>
        <v>4.666666667</v>
      </c>
      <c r="V9" s="62">
        <v>5.0</v>
      </c>
      <c r="W9" s="63">
        <v>5.0</v>
      </c>
      <c r="X9" s="62">
        <v>5.0</v>
      </c>
      <c r="Y9" s="78">
        <f t="shared" si="6"/>
        <v>5</v>
      </c>
      <c r="Z9" s="62">
        <v>6.0</v>
      </c>
      <c r="AA9" s="62">
        <v>6.0</v>
      </c>
      <c r="AB9" s="63">
        <v>6.0</v>
      </c>
      <c r="AC9" s="250">
        <v>5.0</v>
      </c>
      <c r="AD9" s="212">
        <f t="shared" si="7"/>
        <v>5.75</v>
      </c>
      <c r="AE9" s="213">
        <v>6.0</v>
      </c>
      <c r="AF9" s="63">
        <v>6.0</v>
      </c>
      <c r="AG9" s="63">
        <v>5.0</v>
      </c>
      <c r="AH9" s="67">
        <f t="shared" si="8"/>
        <v>5.666666667</v>
      </c>
      <c r="AI9" s="251">
        <f t="shared" si="9"/>
        <v>5.508333333</v>
      </c>
    </row>
    <row r="10" ht="15.75" customHeight="1">
      <c r="A10" s="74">
        <v>3.0</v>
      </c>
      <c r="B10" s="312" t="s">
        <v>197</v>
      </c>
      <c r="C10" s="65" t="s">
        <v>44</v>
      </c>
      <c r="D10" s="62">
        <v>6.0</v>
      </c>
      <c r="E10" s="62">
        <v>6.0</v>
      </c>
      <c r="F10" s="66">
        <f t="shared" si="1"/>
        <v>6</v>
      </c>
      <c r="G10" s="62">
        <v>6.0</v>
      </c>
      <c r="H10" s="62">
        <v>6.0</v>
      </c>
      <c r="I10" s="209">
        <f t="shared" si="2"/>
        <v>6</v>
      </c>
      <c r="J10" s="62">
        <v>6.0</v>
      </c>
      <c r="K10" s="62">
        <v>6.0</v>
      </c>
      <c r="L10" s="210">
        <f t="shared" si="3"/>
        <v>6</v>
      </c>
      <c r="M10" s="62">
        <v>4.0</v>
      </c>
      <c r="N10" s="62">
        <v>5.0</v>
      </c>
      <c r="O10" s="63">
        <v>5.0</v>
      </c>
      <c r="P10" s="71">
        <f t="shared" si="4"/>
        <v>5</v>
      </c>
      <c r="Q10" s="62">
        <v>5.0</v>
      </c>
      <c r="R10" s="62">
        <v>5.0</v>
      </c>
      <c r="S10" s="63">
        <v>4.0</v>
      </c>
      <c r="T10" s="62">
        <v>5.0</v>
      </c>
      <c r="U10" s="211">
        <f t="shared" si="5"/>
        <v>4.666666667</v>
      </c>
      <c r="V10" s="62">
        <v>5.0</v>
      </c>
      <c r="W10" s="63">
        <v>5.0</v>
      </c>
      <c r="X10" s="62">
        <v>4.0</v>
      </c>
      <c r="Y10" s="78">
        <f t="shared" si="6"/>
        <v>4.666666667</v>
      </c>
      <c r="Z10" s="62">
        <v>6.0</v>
      </c>
      <c r="AA10" s="62">
        <v>6.0</v>
      </c>
      <c r="AB10" s="63">
        <v>6.0</v>
      </c>
      <c r="AC10" s="250">
        <v>5.0</v>
      </c>
      <c r="AD10" s="212">
        <f t="shared" si="7"/>
        <v>5.75</v>
      </c>
      <c r="AE10" s="213">
        <v>6.0</v>
      </c>
      <c r="AF10" s="63">
        <v>6.0</v>
      </c>
      <c r="AG10" s="63">
        <v>5.0</v>
      </c>
      <c r="AH10" s="67">
        <f t="shared" si="8"/>
        <v>5.666666667</v>
      </c>
      <c r="AI10" s="251">
        <f t="shared" si="9"/>
        <v>5.275</v>
      </c>
    </row>
    <row r="11" ht="15.75" customHeight="1">
      <c r="A11" s="74">
        <v>4.0</v>
      </c>
      <c r="B11" s="312" t="s">
        <v>198</v>
      </c>
      <c r="C11" s="65" t="s">
        <v>44</v>
      </c>
      <c r="D11" s="62">
        <v>5.0</v>
      </c>
      <c r="E11" s="62">
        <v>5.0</v>
      </c>
      <c r="F11" s="66">
        <f t="shared" si="1"/>
        <v>5</v>
      </c>
      <c r="G11" s="62">
        <v>5.0</v>
      </c>
      <c r="H11" s="62">
        <v>5.0</v>
      </c>
      <c r="I11" s="209">
        <f t="shared" si="2"/>
        <v>5</v>
      </c>
      <c r="J11" s="62">
        <v>5.0</v>
      </c>
      <c r="K11" s="62">
        <v>5.0</v>
      </c>
      <c r="L11" s="210">
        <f t="shared" si="3"/>
        <v>5</v>
      </c>
      <c r="M11" s="62">
        <v>4.0</v>
      </c>
      <c r="N11" s="62">
        <v>4.0</v>
      </c>
      <c r="O11" s="63">
        <v>4.0</v>
      </c>
      <c r="P11" s="71">
        <f t="shared" si="4"/>
        <v>4</v>
      </c>
      <c r="Q11" s="62">
        <v>4.0</v>
      </c>
      <c r="R11" s="62">
        <v>4.0</v>
      </c>
      <c r="S11" s="63">
        <v>4.0</v>
      </c>
      <c r="T11" s="62">
        <v>4.0</v>
      </c>
      <c r="U11" s="211">
        <f t="shared" si="5"/>
        <v>4</v>
      </c>
      <c r="V11" s="62">
        <v>4.0</v>
      </c>
      <c r="W11" s="63">
        <v>4.0</v>
      </c>
      <c r="X11" s="62">
        <v>4.0</v>
      </c>
      <c r="Y11" s="78">
        <f t="shared" si="6"/>
        <v>4</v>
      </c>
      <c r="Z11" s="62">
        <v>5.0</v>
      </c>
      <c r="AA11" s="62">
        <v>5.0</v>
      </c>
      <c r="AB11" s="63">
        <v>5.0</v>
      </c>
      <c r="AC11" s="250">
        <v>5.0</v>
      </c>
      <c r="AD11" s="212">
        <f t="shared" si="7"/>
        <v>5</v>
      </c>
      <c r="AE11" s="213">
        <v>5.0</v>
      </c>
      <c r="AF11" s="63">
        <v>5.0</v>
      </c>
      <c r="AG11" s="63">
        <v>4.0</v>
      </c>
      <c r="AH11" s="67">
        <f t="shared" si="8"/>
        <v>4.666666667</v>
      </c>
      <c r="AI11" s="251">
        <f t="shared" si="9"/>
        <v>4.466666667</v>
      </c>
    </row>
    <row r="12" ht="15.75" customHeight="1">
      <c r="A12" s="74">
        <v>5.0</v>
      </c>
      <c r="B12" s="312" t="s">
        <v>199</v>
      </c>
      <c r="C12" s="65" t="s">
        <v>44</v>
      </c>
      <c r="D12" s="62">
        <v>6.0</v>
      </c>
      <c r="E12" s="62">
        <v>6.0</v>
      </c>
      <c r="F12" s="66">
        <f t="shared" si="1"/>
        <v>6</v>
      </c>
      <c r="G12" s="62">
        <v>6.0</v>
      </c>
      <c r="H12" s="62">
        <v>6.0</v>
      </c>
      <c r="I12" s="209">
        <f t="shared" si="2"/>
        <v>6</v>
      </c>
      <c r="J12" s="62">
        <v>5.0</v>
      </c>
      <c r="K12" s="62">
        <v>5.0</v>
      </c>
      <c r="L12" s="210">
        <f t="shared" si="3"/>
        <v>5</v>
      </c>
      <c r="M12" s="62">
        <v>6.0</v>
      </c>
      <c r="N12" s="62">
        <v>6.0</v>
      </c>
      <c r="O12" s="63">
        <v>6.0</v>
      </c>
      <c r="P12" s="71">
        <f t="shared" si="4"/>
        <v>6</v>
      </c>
      <c r="Q12" s="62">
        <v>5.0</v>
      </c>
      <c r="R12" s="62">
        <v>5.0</v>
      </c>
      <c r="S12" s="63">
        <v>4.0</v>
      </c>
      <c r="T12" s="62">
        <v>4.0</v>
      </c>
      <c r="U12" s="211">
        <f t="shared" si="5"/>
        <v>4.333333333</v>
      </c>
      <c r="V12" s="62">
        <v>5.0</v>
      </c>
      <c r="W12" s="63">
        <v>5.0</v>
      </c>
      <c r="X12" s="62">
        <v>4.0</v>
      </c>
      <c r="Y12" s="78">
        <f t="shared" si="6"/>
        <v>4.666666667</v>
      </c>
      <c r="Z12" s="62">
        <v>5.0</v>
      </c>
      <c r="AA12" s="62">
        <v>5.0</v>
      </c>
      <c r="AB12" s="63">
        <v>5.0</v>
      </c>
      <c r="AC12" s="250">
        <v>5.0</v>
      </c>
      <c r="AD12" s="212">
        <f t="shared" si="7"/>
        <v>5</v>
      </c>
      <c r="AE12" s="213">
        <v>6.0</v>
      </c>
      <c r="AF12" s="63">
        <v>5.0</v>
      </c>
      <c r="AG12" s="63">
        <v>4.0</v>
      </c>
      <c r="AH12" s="67">
        <f t="shared" si="8"/>
        <v>5</v>
      </c>
      <c r="AI12" s="251">
        <f t="shared" si="9"/>
        <v>5.2</v>
      </c>
    </row>
    <row r="13" ht="15.75" customHeight="1">
      <c r="A13" s="74">
        <v>6.0</v>
      </c>
      <c r="B13" s="312" t="s">
        <v>200</v>
      </c>
      <c r="C13" s="65" t="s">
        <v>44</v>
      </c>
      <c r="D13" s="62">
        <v>6.0</v>
      </c>
      <c r="E13" s="62">
        <v>6.0</v>
      </c>
      <c r="F13" s="66">
        <f t="shared" si="1"/>
        <v>6</v>
      </c>
      <c r="G13" s="62">
        <v>6.0</v>
      </c>
      <c r="H13" s="62">
        <v>6.0</v>
      </c>
      <c r="I13" s="209">
        <f t="shared" si="2"/>
        <v>6</v>
      </c>
      <c r="J13" s="62">
        <v>6.0</v>
      </c>
      <c r="K13" s="62">
        <v>6.0</v>
      </c>
      <c r="L13" s="210">
        <f t="shared" si="3"/>
        <v>6</v>
      </c>
      <c r="M13" s="62">
        <v>6.0</v>
      </c>
      <c r="N13" s="62">
        <v>6.0</v>
      </c>
      <c r="O13" s="63">
        <v>6.0</v>
      </c>
      <c r="P13" s="71">
        <f t="shared" si="4"/>
        <v>6</v>
      </c>
      <c r="Q13" s="62">
        <v>5.0</v>
      </c>
      <c r="R13" s="62">
        <v>5.0</v>
      </c>
      <c r="S13" s="63">
        <v>4.0</v>
      </c>
      <c r="T13" s="62">
        <v>4.0</v>
      </c>
      <c r="U13" s="211">
        <f t="shared" si="5"/>
        <v>4.333333333</v>
      </c>
      <c r="V13" s="62">
        <v>5.0</v>
      </c>
      <c r="W13" s="63">
        <v>5.0</v>
      </c>
      <c r="X13" s="62">
        <v>5.0</v>
      </c>
      <c r="Y13" s="78">
        <f t="shared" si="6"/>
        <v>5</v>
      </c>
      <c r="Z13" s="62">
        <v>6.0</v>
      </c>
      <c r="AA13" s="62">
        <v>6.0</v>
      </c>
      <c r="AB13" s="63">
        <v>6.0</v>
      </c>
      <c r="AC13" s="250">
        <v>5.0</v>
      </c>
      <c r="AD13" s="212">
        <f t="shared" si="7"/>
        <v>5.75</v>
      </c>
      <c r="AE13" s="213">
        <v>6.0</v>
      </c>
      <c r="AF13" s="63">
        <v>5.0</v>
      </c>
      <c r="AG13" s="63">
        <v>4.0</v>
      </c>
      <c r="AH13" s="67">
        <f t="shared" si="8"/>
        <v>5</v>
      </c>
      <c r="AI13" s="251">
        <f t="shared" si="9"/>
        <v>5.508333333</v>
      </c>
    </row>
    <row r="14" ht="15.75" customHeight="1">
      <c r="A14" s="74">
        <v>7.0</v>
      </c>
      <c r="B14" s="312" t="s">
        <v>201</v>
      </c>
      <c r="C14" s="65" t="s">
        <v>44</v>
      </c>
      <c r="D14" s="62">
        <v>6.0</v>
      </c>
      <c r="E14" s="62">
        <v>6.0</v>
      </c>
      <c r="F14" s="66">
        <f t="shared" si="1"/>
        <v>6</v>
      </c>
      <c r="G14" s="62">
        <v>6.0</v>
      </c>
      <c r="H14" s="62">
        <v>6.0</v>
      </c>
      <c r="I14" s="209">
        <f t="shared" si="2"/>
        <v>6</v>
      </c>
      <c r="J14" s="62">
        <v>5.0</v>
      </c>
      <c r="K14" s="62">
        <v>6.0</v>
      </c>
      <c r="L14" s="210">
        <f t="shared" si="3"/>
        <v>5.5</v>
      </c>
      <c r="M14" s="62">
        <v>4.0</v>
      </c>
      <c r="N14" s="62">
        <v>4.0</v>
      </c>
      <c r="O14" s="63">
        <v>6.0</v>
      </c>
      <c r="P14" s="71">
        <f t="shared" si="4"/>
        <v>5</v>
      </c>
      <c r="Q14" s="62">
        <v>4.0</v>
      </c>
      <c r="R14" s="62">
        <v>5.0</v>
      </c>
      <c r="S14" s="63">
        <v>4.0</v>
      </c>
      <c r="T14" s="62">
        <v>4.0</v>
      </c>
      <c r="U14" s="211">
        <f t="shared" si="5"/>
        <v>4.333333333</v>
      </c>
      <c r="V14" s="62">
        <v>4.0</v>
      </c>
      <c r="W14" s="63">
        <v>4.0</v>
      </c>
      <c r="X14" s="62">
        <v>4.0</v>
      </c>
      <c r="Y14" s="78">
        <f t="shared" si="6"/>
        <v>4</v>
      </c>
      <c r="Z14" s="62">
        <v>5.0</v>
      </c>
      <c r="AA14" s="62">
        <v>5.0</v>
      </c>
      <c r="AB14" s="63">
        <v>5.0</v>
      </c>
      <c r="AC14" s="250">
        <v>5.0</v>
      </c>
      <c r="AD14" s="212">
        <f t="shared" si="7"/>
        <v>5</v>
      </c>
      <c r="AE14" s="213">
        <v>6.0</v>
      </c>
      <c r="AF14" s="63">
        <v>5.0</v>
      </c>
      <c r="AG14" s="63">
        <v>4.0</v>
      </c>
      <c r="AH14" s="67">
        <f t="shared" si="8"/>
        <v>5</v>
      </c>
      <c r="AI14" s="251">
        <f t="shared" si="9"/>
        <v>4.783333333</v>
      </c>
    </row>
    <row r="15" ht="15.75" customHeight="1">
      <c r="A15" s="74">
        <v>8.0</v>
      </c>
      <c r="B15" s="312" t="s">
        <v>202</v>
      </c>
      <c r="C15" s="65" t="s">
        <v>44</v>
      </c>
      <c r="D15" s="62">
        <v>6.0</v>
      </c>
      <c r="E15" s="62">
        <v>6.0</v>
      </c>
      <c r="F15" s="66">
        <f t="shared" si="1"/>
        <v>6</v>
      </c>
      <c r="G15" s="62">
        <v>6.0</v>
      </c>
      <c r="H15" s="62">
        <v>6.0</v>
      </c>
      <c r="I15" s="209">
        <f t="shared" si="2"/>
        <v>6</v>
      </c>
      <c r="J15" s="62">
        <v>4.0</v>
      </c>
      <c r="K15" s="62">
        <v>5.0</v>
      </c>
      <c r="L15" s="210">
        <f t="shared" si="3"/>
        <v>4.5</v>
      </c>
      <c r="M15" s="62">
        <v>6.0</v>
      </c>
      <c r="N15" s="62">
        <v>5.0</v>
      </c>
      <c r="O15" s="63">
        <v>6.0</v>
      </c>
      <c r="P15" s="71">
        <f t="shared" si="4"/>
        <v>5.5</v>
      </c>
      <c r="Q15" s="62">
        <v>5.0</v>
      </c>
      <c r="R15" s="62">
        <v>5.0</v>
      </c>
      <c r="S15" s="63">
        <v>5.0</v>
      </c>
      <c r="T15" s="62">
        <v>5.0</v>
      </c>
      <c r="U15" s="211">
        <f t="shared" si="5"/>
        <v>5</v>
      </c>
      <c r="V15" s="62">
        <v>5.0</v>
      </c>
      <c r="W15" s="63">
        <v>4.0</v>
      </c>
      <c r="X15" s="62">
        <v>4.0</v>
      </c>
      <c r="Y15" s="78">
        <f t="shared" si="6"/>
        <v>4.333333333</v>
      </c>
      <c r="Z15" s="62">
        <v>5.0</v>
      </c>
      <c r="AA15" s="62">
        <v>5.0</v>
      </c>
      <c r="AB15" s="63">
        <v>5.0</v>
      </c>
      <c r="AC15" s="250">
        <v>5.0</v>
      </c>
      <c r="AD15" s="212">
        <f t="shared" si="7"/>
        <v>5</v>
      </c>
      <c r="AE15" s="213">
        <v>6.0</v>
      </c>
      <c r="AF15" s="63">
        <v>5.0</v>
      </c>
      <c r="AG15" s="63">
        <v>4.0</v>
      </c>
      <c r="AH15" s="67">
        <f t="shared" si="8"/>
        <v>5</v>
      </c>
      <c r="AI15" s="251">
        <f t="shared" si="9"/>
        <v>5.083333333</v>
      </c>
    </row>
    <row r="16" ht="15.75" customHeight="1">
      <c r="A16" s="74">
        <v>9.0</v>
      </c>
      <c r="B16" s="312" t="s">
        <v>203</v>
      </c>
      <c r="C16" s="65" t="s">
        <v>44</v>
      </c>
      <c r="D16" s="62">
        <v>6.0</v>
      </c>
      <c r="E16" s="62">
        <v>6.0</v>
      </c>
      <c r="F16" s="66">
        <f t="shared" si="1"/>
        <v>6</v>
      </c>
      <c r="G16" s="62">
        <v>6.0</v>
      </c>
      <c r="H16" s="62">
        <v>5.0</v>
      </c>
      <c r="I16" s="209">
        <f t="shared" si="2"/>
        <v>5.5</v>
      </c>
      <c r="J16" s="62">
        <v>4.0</v>
      </c>
      <c r="K16" s="62">
        <v>5.0</v>
      </c>
      <c r="L16" s="210">
        <f t="shared" si="3"/>
        <v>4.5</v>
      </c>
      <c r="M16" s="62">
        <v>6.0</v>
      </c>
      <c r="N16" s="62">
        <v>5.0</v>
      </c>
      <c r="O16" s="63">
        <v>6.0</v>
      </c>
      <c r="P16" s="71">
        <f t="shared" si="4"/>
        <v>5.5</v>
      </c>
      <c r="Q16" s="62">
        <v>5.0</v>
      </c>
      <c r="R16" s="62">
        <v>5.0</v>
      </c>
      <c r="S16" s="63">
        <v>5.0</v>
      </c>
      <c r="T16" s="62">
        <v>5.0</v>
      </c>
      <c r="U16" s="211">
        <f t="shared" si="5"/>
        <v>5</v>
      </c>
      <c r="V16" s="62">
        <v>5.0</v>
      </c>
      <c r="W16" s="63">
        <v>4.0</v>
      </c>
      <c r="X16" s="62">
        <v>4.0</v>
      </c>
      <c r="Y16" s="78">
        <f t="shared" si="6"/>
        <v>4.333333333</v>
      </c>
      <c r="Z16" s="62">
        <v>5.0</v>
      </c>
      <c r="AA16" s="62">
        <v>5.0</v>
      </c>
      <c r="AB16" s="63">
        <v>5.0</v>
      </c>
      <c r="AC16" s="250">
        <v>5.0</v>
      </c>
      <c r="AD16" s="212">
        <f t="shared" si="7"/>
        <v>5</v>
      </c>
      <c r="AE16" s="213">
        <v>6.0</v>
      </c>
      <c r="AF16" s="63">
        <v>5.0</v>
      </c>
      <c r="AG16" s="63">
        <v>4.0</v>
      </c>
      <c r="AH16" s="67">
        <f t="shared" si="8"/>
        <v>5</v>
      </c>
      <c r="AI16" s="251">
        <f t="shared" si="9"/>
        <v>4.983333333</v>
      </c>
    </row>
    <row r="17" ht="15.75" customHeight="1">
      <c r="A17" s="74">
        <v>10.0</v>
      </c>
      <c r="B17" s="312" t="s">
        <v>204</v>
      </c>
      <c r="C17" s="65" t="s">
        <v>45</v>
      </c>
      <c r="D17" s="62">
        <v>5.0</v>
      </c>
      <c r="E17" s="62">
        <v>5.0</v>
      </c>
      <c r="F17" s="66">
        <f t="shared" si="1"/>
        <v>5</v>
      </c>
      <c r="G17" s="62">
        <v>5.0</v>
      </c>
      <c r="H17" s="62">
        <v>5.0</v>
      </c>
      <c r="I17" s="209">
        <f t="shared" si="2"/>
        <v>5</v>
      </c>
      <c r="J17" s="62">
        <v>4.0</v>
      </c>
      <c r="K17" s="62">
        <v>5.0</v>
      </c>
      <c r="L17" s="210">
        <f t="shared" si="3"/>
        <v>4.5</v>
      </c>
      <c r="M17" s="62">
        <v>4.0</v>
      </c>
      <c r="N17" s="62">
        <v>4.0</v>
      </c>
      <c r="O17" s="63">
        <v>6.0</v>
      </c>
      <c r="P17" s="71">
        <f t="shared" si="4"/>
        <v>5</v>
      </c>
      <c r="Q17" s="62">
        <v>4.0</v>
      </c>
      <c r="R17" s="62">
        <v>4.0</v>
      </c>
      <c r="S17" s="63">
        <v>4.0</v>
      </c>
      <c r="T17" s="62">
        <v>4.0</v>
      </c>
      <c r="U17" s="211">
        <f t="shared" si="5"/>
        <v>4</v>
      </c>
      <c r="V17" s="62">
        <v>4.0</v>
      </c>
      <c r="W17" s="63">
        <v>4.0</v>
      </c>
      <c r="X17" s="62">
        <v>4.0</v>
      </c>
      <c r="Y17" s="78">
        <f t="shared" si="6"/>
        <v>4</v>
      </c>
      <c r="Z17" s="62">
        <v>5.0</v>
      </c>
      <c r="AA17" s="62">
        <v>5.0</v>
      </c>
      <c r="AB17" s="63">
        <v>5.0</v>
      </c>
      <c r="AC17" s="250">
        <v>4.0</v>
      </c>
      <c r="AD17" s="212">
        <f t="shared" si="7"/>
        <v>4.75</v>
      </c>
      <c r="AE17" s="213">
        <v>5.0</v>
      </c>
      <c r="AF17" s="63">
        <v>4.0</v>
      </c>
      <c r="AG17" s="63">
        <v>4.0</v>
      </c>
      <c r="AH17" s="67">
        <f t="shared" si="8"/>
        <v>4.333333333</v>
      </c>
      <c r="AI17" s="251">
        <f t="shared" si="9"/>
        <v>4.358333333</v>
      </c>
    </row>
    <row r="18" ht="15.75" customHeight="1">
      <c r="A18" s="74">
        <v>11.0</v>
      </c>
      <c r="B18" s="312" t="s">
        <v>205</v>
      </c>
      <c r="C18" s="65" t="s">
        <v>44</v>
      </c>
      <c r="D18" s="62">
        <v>6.0</v>
      </c>
      <c r="E18" s="62">
        <v>6.0</v>
      </c>
      <c r="F18" s="66">
        <f t="shared" si="1"/>
        <v>6</v>
      </c>
      <c r="G18" s="62">
        <v>6.0</v>
      </c>
      <c r="H18" s="62">
        <v>6.0</v>
      </c>
      <c r="I18" s="209">
        <f t="shared" si="2"/>
        <v>6</v>
      </c>
      <c r="J18" s="62">
        <v>6.0</v>
      </c>
      <c r="K18" s="62">
        <v>6.0</v>
      </c>
      <c r="L18" s="210">
        <f t="shared" si="3"/>
        <v>6</v>
      </c>
      <c r="M18" s="62">
        <v>6.0</v>
      </c>
      <c r="N18" s="62">
        <v>5.0</v>
      </c>
      <c r="O18" s="63">
        <v>6.0</v>
      </c>
      <c r="P18" s="71">
        <f t="shared" si="4"/>
        <v>5.5</v>
      </c>
      <c r="Q18" s="62">
        <v>5.0</v>
      </c>
      <c r="R18" s="62">
        <v>5.0</v>
      </c>
      <c r="S18" s="63">
        <v>5.0</v>
      </c>
      <c r="T18" s="62">
        <v>4.0</v>
      </c>
      <c r="U18" s="211">
        <f t="shared" si="5"/>
        <v>4.666666667</v>
      </c>
      <c r="V18" s="62">
        <v>5.0</v>
      </c>
      <c r="W18" s="63">
        <v>5.0</v>
      </c>
      <c r="X18" s="62">
        <v>5.0</v>
      </c>
      <c r="Y18" s="78">
        <f t="shared" si="6"/>
        <v>5</v>
      </c>
      <c r="Z18" s="62">
        <v>6.0</v>
      </c>
      <c r="AA18" s="62">
        <v>6.0</v>
      </c>
      <c r="AB18" s="63">
        <v>6.0</v>
      </c>
      <c r="AC18" s="250">
        <v>5.0</v>
      </c>
      <c r="AD18" s="212">
        <f t="shared" si="7"/>
        <v>5.75</v>
      </c>
      <c r="AE18" s="213">
        <v>6.0</v>
      </c>
      <c r="AF18" s="63">
        <v>6.0</v>
      </c>
      <c r="AG18" s="63">
        <v>5.0</v>
      </c>
      <c r="AH18" s="67">
        <f t="shared" si="8"/>
        <v>5.666666667</v>
      </c>
      <c r="AI18" s="251">
        <f t="shared" si="9"/>
        <v>5.508333333</v>
      </c>
    </row>
    <row r="19" ht="15.75" customHeight="1">
      <c r="A19" s="74">
        <v>12.0</v>
      </c>
      <c r="B19" s="312" t="s">
        <v>206</v>
      </c>
      <c r="C19" s="65" t="s">
        <v>45</v>
      </c>
      <c r="D19" s="62">
        <v>6.0</v>
      </c>
      <c r="E19" s="62">
        <v>6.0</v>
      </c>
      <c r="F19" s="66">
        <f t="shared" si="1"/>
        <v>6</v>
      </c>
      <c r="G19" s="62">
        <v>6.0</v>
      </c>
      <c r="H19" s="62">
        <v>6.0</v>
      </c>
      <c r="I19" s="209">
        <f t="shared" si="2"/>
        <v>6</v>
      </c>
      <c r="J19" s="62">
        <v>6.0</v>
      </c>
      <c r="K19" s="62">
        <v>6.0</v>
      </c>
      <c r="L19" s="210">
        <f t="shared" si="3"/>
        <v>6</v>
      </c>
      <c r="M19" s="62">
        <v>6.0</v>
      </c>
      <c r="N19" s="62">
        <v>5.0</v>
      </c>
      <c r="O19" s="63">
        <v>6.0</v>
      </c>
      <c r="P19" s="71">
        <f t="shared" si="4"/>
        <v>5.5</v>
      </c>
      <c r="Q19" s="62">
        <v>6.0</v>
      </c>
      <c r="R19" s="62">
        <v>6.0</v>
      </c>
      <c r="S19" s="63">
        <v>6.0</v>
      </c>
      <c r="T19" s="62">
        <v>6.0</v>
      </c>
      <c r="U19" s="211">
        <f t="shared" si="5"/>
        <v>6</v>
      </c>
      <c r="V19" s="62">
        <v>6.0</v>
      </c>
      <c r="W19" s="63">
        <v>6.0</v>
      </c>
      <c r="X19" s="62">
        <v>5.0</v>
      </c>
      <c r="Y19" s="78">
        <f t="shared" si="6"/>
        <v>5.666666667</v>
      </c>
      <c r="Z19" s="62">
        <v>6.0</v>
      </c>
      <c r="AA19" s="62">
        <v>6.0</v>
      </c>
      <c r="AB19" s="63">
        <v>6.0</v>
      </c>
      <c r="AC19" s="250">
        <v>5.0</v>
      </c>
      <c r="AD19" s="212">
        <f t="shared" si="7"/>
        <v>5.75</v>
      </c>
      <c r="AE19" s="213">
        <v>6.0</v>
      </c>
      <c r="AF19" s="63">
        <v>6.0</v>
      </c>
      <c r="AG19" s="63">
        <v>6.0</v>
      </c>
      <c r="AH19" s="67">
        <f t="shared" si="8"/>
        <v>6</v>
      </c>
      <c r="AI19" s="251">
        <f t="shared" si="9"/>
        <v>5.841666667</v>
      </c>
    </row>
    <row r="20" ht="15.75" customHeight="1">
      <c r="A20" s="74">
        <v>13.0</v>
      </c>
      <c r="B20" s="312" t="s">
        <v>207</v>
      </c>
      <c r="C20" s="65" t="s">
        <v>44</v>
      </c>
      <c r="D20" s="62">
        <v>6.0</v>
      </c>
      <c r="E20" s="62">
        <v>6.0</v>
      </c>
      <c r="F20" s="66">
        <f t="shared" si="1"/>
        <v>6</v>
      </c>
      <c r="G20" s="62">
        <v>6.0</v>
      </c>
      <c r="H20" s="62">
        <v>6.0</v>
      </c>
      <c r="I20" s="209">
        <f t="shared" si="2"/>
        <v>6</v>
      </c>
      <c r="J20" s="62">
        <v>5.0</v>
      </c>
      <c r="K20" s="62">
        <v>5.0</v>
      </c>
      <c r="L20" s="210">
        <f t="shared" si="3"/>
        <v>5</v>
      </c>
      <c r="M20" s="62">
        <v>5.0</v>
      </c>
      <c r="N20" s="62">
        <v>5.0</v>
      </c>
      <c r="O20" s="63">
        <v>6.0</v>
      </c>
      <c r="P20" s="71">
        <f t="shared" si="4"/>
        <v>5.5</v>
      </c>
      <c r="Q20" s="62">
        <v>5.0</v>
      </c>
      <c r="R20" s="62">
        <v>5.0</v>
      </c>
      <c r="S20" s="63">
        <v>5.0</v>
      </c>
      <c r="T20" s="62">
        <v>5.0</v>
      </c>
      <c r="U20" s="211">
        <f t="shared" si="5"/>
        <v>5</v>
      </c>
      <c r="V20" s="62">
        <v>5.0</v>
      </c>
      <c r="W20" s="63">
        <v>4.0</v>
      </c>
      <c r="X20" s="62">
        <v>4.0</v>
      </c>
      <c r="Y20" s="78">
        <f t="shared" si="6"/>
        <v>4.333333333</v>
      </c>
      <c r="Z20" s="62">
        <v>5.0</v>
      </c>
      <c r="AA20" s="62">
        <v>5.0</v>
      </c>
      <c r="AB20" s="63">
        <v>5.0</v>
      </c>
      <c r="AC20" s="250">
        <v>5.0</v>
      </c>
      <c r="AD20" s="212">
        <f t="shared" si="7"/>
        <v>5</v>
      </c>
      <c r="AE20" s="213">
        <v>6.0</v>
      </c>
      <c r="AF20" s="63">
        <v>5.0</v>
      </c>
      <c r="AG20" s="63">
        <v>4.0</v>
      </c>
      <c r="AH20" s="67">
        <f t="shared" si="8"/>
        <v>5</v>
      </c>
      <c r="AI20" s="251">
        <f t="shared" si="9"/>
        <v>5.033333333</v>
      </c>
    </row>
    <row r="21" ht="15.75" customHeight="1">
      <c r="A21" s="74">
        <v>14.0</v>
      </c>
      <c r="B21" s="312" t="s">
        <v>208</v>
      </c>
      <c r="C21" s="65" t="s">
        <v>44</v>
      </c>
      <c r="D21" s="62">
        <v>6.0</v>
      </c>
      <c r="E21" s="62">
        <v>6.0</v>
      </c>
      <c r="F21" s="66">
        <f t="shared" si="1"/>
        <v>6</v>
      </c>
      <c r="G21" s="62">
        <v>6.0</v>
      </c>
      <c r="H21" s="62">
        <v>6.0</v>
      </c>
      <c r="I21" s="209">
        <f t="shared" si="2"/>
        <v>6</v>
      </c>
      <c r="J21" s="62">
        <v>5.0</v>
      </c>
      <c r="K21" s="62">
        <v>5.0</v>
      </c>
      <c r="L21" s="210">
        <f t="shared" si="3"/>
        <v>5</v>
      </c>
      <c r="M21" s="62">
        <v>4.0</v>
      </c>
      <c r="N21" s="62">
        <v>5.0</v>
      </c>
      <c r="O21" s="63">
        <v>6.0</v>
      </c>
      <c r="P21" s="71">
        <f t="shared" si="4"/>
        <v>5.5</v>
      </c>
      <c r="Q21" s="62">
        <v>5.0</v>
      </c>
      <c r="R21" s="62">
        <v>5.0</v>
      </c>
      <c r="S21" s="63">
        <v>5.0</v>
      </c>
      <c r="T21" s="62">
        <v>5.0</v>
      </c>
      <c r="U21" s="211">
        <f t="shared" si="5"/>
        <v>5</v>
      </c>
      <c r="V21" s="62">
        <v>5.0</v>
      </c>
      <c r="W21" s="63">
        <v>4.0</v>
      </c>
      <c r="X21" s="62">
        <v>4.0</v>
      </c>
      <c r="Y21" s="78">
        <f t="shared" si="6"/>
        <v>4.333333333</v>
      </c>
      <c r="Z21" s="62">
        <v>5.0</v>
      </c>
      <c r="AA21" s="62">
        <v>5.0</v>
      </c>
      <c r="AB21" s="63">
        <v>5.0</v>
      </c>
      <c r="AC21" s="250">
        <v>5.0</v>
      </c>
      <c r="AD21" s="212">
        <f t="shared" si="7"/>
        <v>5</v>
      </c>
      <c r="AE21" s="213">
        <v>6.0</v>
      </c>
      <c r="AF21" s="63">
        <v>4.0</v>
      </c>
      <c r="AG21" s="63">
        <v>4.0</v>
      </c>
      <c r="AH21" s="67">
        <f t="shared" si="8"/>
        <v>4.666666667</v>
      </c>
      <c r="AI21" s="251">
        <f t="shared" si="9"/>
        <v>4.9</v>
      </c>
    </row>
    <row r="22" ht="15.75" customHeight="1">
      <c r="A22" s="74">
        <v>15.0</v>
      </c>
      <c r="B22" s="312" t="s">
        <v>209</v>
      </c>
      <c r="C22" s="65" t="s">
        <v>44</v>
      </c>
      <c r="D22" s="62">
        <v>6.0</v>
      </c>
      <c r="E22" s="62">
        <v>5.0</v>
      </c>
      <c r="F22" s="66">
        <f t="shared" si="1"/>
        <v>5.5</v>
      </c>
      <c r="G22" s="62">
        <v>6.0</v>
      </c>
      <c r="H22" s="62">
        <v>5.0</v>
      </c>
      <c r="I22" s="209">
        <f t="shared" si="2"/>
        <v>5.5</v>
      </c>
      <c r="J22" s="62">
        <v>5.0</v>
      </c>
      <c r="K22" s="62">
        <v>5.0</v>
      </c>
      <c r="L22" s="210">
        <f t="shared" si="3"/>
        <v>5</v>
      </c>
      <c r="M22" s="62">
        <v>5.0</v>
      </c>
      <c r="N22" s="62">
        <v>5.0</v>
      </c>
      <c r="O22" s="63">
        <v>6.0</v>
      </c>
      <c r="P22" s="71">
        <f t="shared" si="4"/>
        <v>5.5</v>
      </c>
      <c r="Q22" s="62">
        <v>5.0</v>
      </c>
      <c r="R22" s="62">
        <v>5.0</v>
      </c>
      <c r="S22" s="63">
        <v>4.0</v>
      </c>
      <c r="T22" s="62">
        <v>4.0</v>
      </c>
      <c r="U22" s="211">
        <f t="shared" si="5"/>
        <v>4.333333333</v>
      </c>
      <c r="V22" s="62">
        <v>4.0</v>
      </c>
      <c r="W22" s="63">
        <v>4.0</v>
      </c>
      <c r="X22" s="62">
        <v>4.0</v>
      </c>
      <c r="Y22" s="78">
        <f t="shared" si="6"/>
        <v>4</v>
      </c>
      <c r="Z22" s="62">
        <v>5.0</v>
      </c>
      <c r="AA22" s="62">
        <v>5.0</v>
      </c>
      <c r="AB22" s="63">
        <v>5.0</v>
      </c>
      <c r="AC22" s="250">
        <v>4.0</v>
      </c>
      <c r="AD22" s="212">
        <f t="shared" si="7"/>
        <v>4.75</v>
      </c>
      <c r="AE22" s="213">
        <v>5.0</v>
      </c>
      <c r="AF22" s="63">
        <v>4.0</v>
      </c>
      <c r="AG22" s="63">
        <v>4.0</v>
      </c>
      <c r="AH22" s="67">
        <f t="shared" si="8"/>
        <v>4.333333333</v>
      </c>
      <c r="AI22" s="251">
        <f t="shared" si="9"/>
        <v>4.741666667</v>
      </c>
    </row>
    <row r="23" ht="15.75" customHeight="1">
      <c r="A23" s="74">
        <v>16.0</v>
      </c>
      <c r="B23" s="312" t="s">
        <v>210</v>
      </c>
      <c r="C23" s="65" t="s">
        <v>44</v>
      </c>
      <c r="D23" s="62">
        <v>6.0</v>
      </c>
      <c r="E23" s="62">
        <v>6.0</v>
      </c>
      <c r="F23" s="66">
        <f t="shared" si="1"/>
        <v>6</v>
      </c>
      <c r="G23" s="62">
        <v>6.0</v>
      </c>
      <c r="H23" s="62">
        <v>6.0</v>
      </c>
      <c r="I23" s="209">
        <f t="shared" si="2"/>
        <v>6</v>
      </c>
      <c r="J23" s="62">
        <v>6.0</v>
      </c>
      <c r="K23" s="62">
        <v>6.0</v>
      </c>
      <c r="L23" s="210">
        <f t="shared" si="3"/>
        <v>6</v>
      </c>
      <c r="M23" s="62">
        <v>4.0</v>
      </c>
      <c r="N23" s="62">
        <v>5.0</v>
      </c>
      <c r="O23" s="63">
        <v>6.0</v>
      </c>
      <c r="P23" s="71">
        <f t="shared" si="4"/>
        <v>5.5</v>
      </c>
      <c r="Q23" s="62">
        <v>6.0</v>
      </c>
      <c r="R23" s="62">
        <v>5.0</v>
      </c>
      <c r="S23" s="63">
        <v>5.0</v>
      </c>
      <c r="T23" s="62">
        <v>5.0</v>
      </c>
      <c r="U23" s="211">
        <f t="shared" si="5"/>
        <v>5</v>
      </c>
      <c r="V23" s="62">
        <v>6.0</v>
      </c>
      <c r="W23" s="63">
        <v>5.0</v>
      </c>
      <c r="X23" s="62">
        <v>5.0</v>
      </c>
      <c r="Y23" s="78">
        <f t="shared" si="6"/>
        <v>5.333333333</v>
      </c>
      <c r="Z23" s="62">
        <v>6.0</v>
      </c>
      <c r="AA23" s="62">
        <v>6.0</v>
      </c>
      <c r="AB23" s="63">
        <v>6.0</v>
      </c>
      <c r="AC23" s="250">
        <v>6.0</v>
      </c>
      <c r="AD23" s="212">
        <f t="shared" si="7"/>
        <v>6</v>
      </c>
      <c r="AE23" s="213">
        <v>6.0</v>
      </c>
      <c r="AF23" s="63">
        <v>5.0</v>
      </c>
      <c r="AG23" s="63">
        <v>5.0</v>
      </c>
      <c r="AH23" s="67">
        <f t="shared" si="8"/>
        <v>5.333333333</v>
      </c>
      <c r="AI23" s="251">
        <f t="shared" si="9"/>
        <v>5.466666667</v>
      </c>
    </row>
    <row r="24" ht="15.75" customHeight="1">
      <c r="A24" s="74">
        <v>17.0</v>
      </c>
      <c r="B24" s="312" t="s">
        <v>211</v>
      </c>
      <c r="C24" s="65" t="s">
        <v>44</v>
      </c>
      <c r="D24" s="62">
        <v>6.0</v>
      </c>
      <c r="E24" s="62">
        <v>5.0</v>
      </c>
      <c r="F24" s="66">
        <f t="shared" si="1"/>
        <v>5.5</v>
      </c>
      <c r="G24" s="62">
        <v>6.0</v>
      </c>
      <c r="H24" s="62">
        <v>4.0</v>
      </c>
      <c r="I24" s="209">
        <f t="shared" si="2"/>
        <v>5</v>
      </c>
      <c r="J24" s="62">
        <v>4.0</v>
      </c>
      <c r="K24" s="62">
        <v>5.0</v>
      </c>
      <c r="L24" s="210">
        <f t="shared" si="3"/>
        <v>4.5</v>
      </c>
      <c r="M24" s="62">
        <v>4.0</v>
      </c>
      <c r="N24" s="62">
        <v>4.0</v>
      </c>
      <c r="O24" s="63">
        <v>4.0</v>
      </c>
      <c r="P24" s="71">
        <f t="shared" si="4"/>
        <v>4</v>
      </c>
      <c r="Q24" s="62">
        <v>5.0</v>
      </c>
      <c r="R24" s="62">
        <v>5.0</v>
      </c>
      <c r="S24" s="63">
        <v>4.0</v>
      </c>
      <c r="T24" s="62">
        <v>4.0</v>
      </c>
      <c r="U24" s="211">
        <f t="shared" si="5"/>
        <v>4.333333333</v>
      </c>
      <c r="V24" s="62">
        <v>5.0</v>
      </c>
      <c r="W24" s="63">
        <v>4.0</v>
      </c>
      <c r="X24" s="62">
        <v>4.0</v>
      </c>
      <c r="Y24" s="78">
        <f t="shared" si="6"/>
        <v>4.333333333</v>
      </c>
      <c r="Z24" s="62">
        <v>5.0</v>
      </c>
      <c r="AA24" s="62">
        <v>5.0</v>
      </c>
      <c r="AB24" s="63">
        <v>5.0</v>
      </c>
      <c r="AC24" s="250">
        <v>4.0</v>
      </c>
      <c r="AD24" s="212">
        <f t="shared" si="7"/>
        <v>4.75</v>
      </c>
      <c r="AE24" s="213">
        <v>5.0</v>
      </c>
      <c r="AF24" s="63">
        <v>5.0</v>
      </c>
      <c r="AG24" s="63">
        <v>4.0</v>
      </c>
      <c r="AH24" s="67">
        <f t="shared" si="8"/>
        <v>4.666666667</v>
      </c>
      <c r="AI24" s="251">
        <f t="shared" si="9"/>
        <v>4.458333333</v>
      </c>
    </row>
    <row r="25" ht="15.75" customHeight="1">
      <c r="A25" s="74">
        <v>18.0</v>
      </c>
      <c r="B25" s="312" t="s">
        <v>212</v>
      </c>
      <c r="C25" s="65" t="s">
        <v>44</v>
      </c>
      <c r="D25" s="62">
        <v>6.0</v>
      </c>
      <c r="E25" s="62">
        <v>6.0</v>
      </c>
      <c r="F25" s="66">
        <f t="shared" si="1"/>
        <v>6</v>
      </c>
      <c r="G25" s="62">
        <v>6.0</v>
      </c>
      <c r="H25" s="62">
        <v>6.0</v>
      </c>
      <c r="I25" s="209">
        <f t="shared" si="2"/>
        <v>6</v>
      </c>
      <c r="J25" s="62">
        <v>5.0</v>
      </c>
      <c r="K25" s="62">
        <v>5.0</v>
      </c>
      <c r="L25" s="210">
        <f t="shared" si="3"/>
        <v>5</v>
      </c>
      <c r="M25" s="62">
        <v>5.0</v>
      </c>
      <c r="N25" s="62">
        <v>5.0</v>
      </c>
      <c r="O25" s="63">
        <v>5.0</v>
      </c>
      <c r="P25" s="71">
        <f t="shared" si="4"/>
        <v>5</v>
      </c>
      <c r="Q25" s="62">
        <v>5.0</v>
      </c>
      <c r="R25" s="62">
        <v>5.0</v>
      </c>
      <c r="S25" s="63">
        <v>5.0</v>
      </c>
      <c r="T25" s="62">
        <v>5.0</v>
      </c>
      <c r="U25" s="211">
        <f t="shared" si="5"/>
        <v>5</v>
      </c>
      <c r="V25" s="62">
        <v>5.0</v>
      </c>
      <c r="W25" s="63">
        <v>5.0</v>
      </c>
      <c r="X25" s="62">
        <v>5.0</v>
      </c>
      <c r="Y25" s="78">
        <f t="shared" si="6"/>
        <v>5</v>
      </c>
      <c r="Z25" s="62">
        <v>5.0</v>
      </c>
      <c r="AA25" s="62">
        <v>5.0</v>
      </c>
      <c r="AB25" s="63">
        <v>5.0</v>
      </c>
      <c r="AC25" s="250">
        <v>5.0</v>
      </c>
      <c r="AD25" s="212">
        <f t="shared" si="7"/>
        <v>5</v>
      </c>
      <c r="AE25" s="213">
        <v>5.0</v>
      </c>
      <c r="AF25" s="63">
        <v>5.0</v>
      </c>
      <c r="AG25" s="63">
        <v>4.0</v>
      </c>
      <c r="AH25" s="67">
        <f t="shared" si="8"/>
        <v>4.666666667</v>
      </c>
      <c r="AI25" s="251">
        <f t="shared" si="9"/>
        <v>5.066666667</v>
      </c>
    </row>
    <row r="26" ht="15.75" customHeight="1">
      <c r="A26" s="74">
        <v>19.0</v>
      </c>
      <c r="B26" s="312" t="s">
        <v>213</v>
      </c>
      <c r="C26" s="65" t="s">
        <v>44</v>
      </c>
      <c r="D26" s="62">
        <v>6.0</v>
      </c>
      <c r="E26" s="62">
        <v>6.0</v>
      </c>
      <c r="F26" s="66">
        <f t="shared" si="1"/>
        <v>6</v>
      </c>
      <c r="G26" s="62">
        <v>6.0</v>
      </c>
      <c r="H26" s="62">
        <v>6.0</v>
      </c>
      <c r="I26" s="209">
        <f t="shared" si="2"/>
        <v>6</v>
      </c>
      <c r="J26" s="62">
        <v>6.0</v>
      </c>
      <c r="K26" s="62">
        <v>6.0</v>
      </c>
      <c r="L26" s="210">
        <f t="shared" si="3"/>
        <v>6</v>
      </c>
      <c r="M26" s="62">
        <v>5.0</v>
      </c>
      <c r="N26" s="62">
        <v>4.0</v>
      </c>
      <c r="O26" s="63">
        <v>5.0</v>
      </c>
      <c r="P26" s="71">
        <f t="shared" si="4"/>
        <v>4.5</v>
      </c>
      <c r="Q26" s="62">
        <v>5.0</v>
      </c>
      <c r="R26" s="62">
        <v>5.0</v>
      </c>
      <c r="S26" s="63">
        <v>5.0</v>
      </c>
      <c r="T26" s="62">
        <v>5.0</v>
      </c>
      <c r="U26" s="211">
        <f t="shared" si="5"/>
        <v>5</v>
      </c>
      <c r="V26" s="62">
        <v>5.0</v>
      </c>
      <c r="W26" s="63">
        <v>5.0</v>
      </c>
      <c r="X26" s="62">
        <v>5.0</v>
      </c>
      <c r="Y26" s="78">
        <f t="shared" si="6"/>
        <v>5</v>
      </c>
      <c r="Z26" s="62">
        <v>5.0</v>
      </c>
      <c r="AA26" s="62">
        <v>5.0</v>
      </c>
      <c r="AB26" s="63">
        <v>5.0</v>
      </c>
      <c r="AC26" s="250">
        <v>5.0</v>
      </c>
      <c r="AD26" s="212">
        <f t="shared" si="7"/>
        <v>5</v>
      </c>
      <c r="AE26" s="213">
        <v>6.0</v>
      </c>
      <c r="AF26" s="63">
        <v>5.0</v>
      </c>
      <c r="AG26" s="63">
        <v>4.0</v>
      </c>
      <c r="AH26" s="67">
        <f t="shared" si="8"/>
        <v>5</v>
      </c>
      <c r="AI26" s="251">
        <f t="shared" si="9"/>
        <v>5.2</v>
      </c>
    </row>
    <row r="27" ht="15.75" customHeight="1">
      <c r="A27" s="74">
        <v>20.0</v>
      </c>
      <c r="B27" s="312" t="s">
        <v>214</v>
      </c>
      <c r="C27" s="65" t="s">
        <v>44</v>
      </c>
      <c r="D27" s="62">
        <v>6.0</v>
      </c>
      <c r="E27" s="62">
        <v>5.0</v>
      </c>
      <c r="F27" s="66">
        <f t="shared" si="1"/>
        <v>5.5</v>
      </c>
      <c r="G27" s="62">
        <v>6.0</v>
      </c>
      <c r="H27" s="62">
        <v>5.0</v>
      </c>
      <c r="I27" s="209">
        <f t="shared" si="2"/>
        <v>5.5</v>
      </c>
      <c r="J27" s="62">
        <v>6.0</v>
      </c>
      <c r="K27" s="62">
        <v>6.0</v>
      </c>
      <c r="L27" s="210">
        <f t="shared" si="3"/>
        <v>6</v>
      </c>
      <c r="M27" s="62">
        <v>4.0</v>
      </c>
      <c r="N27" s="62">
        <v>4.0</v>
      </c>
      <c r="O27" s="63">
        <v>5.0</v>
      </c>
      <c r="P27" s="71">
        <f t="shared" si="4"/>
        <v>4.5</v>
      </c>
      <c r="Q27" s="62">
        <v>5.0</v>
      </c>
      <c r="R27" s="62">
        <v>5.0</v>
      </c>
      <c r="S27" s="63">
        <v>5.0</v>
      </c>
      <c r="T27" s="62">
        <v>5.0</v>
      </c>
      <c r="U27" s="211">
        <f t="shared" si="5"/>
        <v>5</v>
      </c>
      <c r="V27" s="62">
        <v>5.0</v>
      </c>
      <c r="W27" s="63">
        <v>4.0</v>
      </c>
      <c r="X27" s="62">
        <v>4.0</v>
      </c>
      <c r="Y27" s="78">
        <f t="shared" si="6"/>
        <v>4.333333333</v>
      </c>
      <c r="Z27" s="62">
        <v>5.0</v>
      </c>
      <c r="AA27" s="62">
        <v>5.0</v>
      </c>
      <c r="AB27" s="63">
        <v>5.0</v>
      </c>
      <c r="AC27" s="250">
        <v>4.0</v>
      </c>
      <c r="AD27" s="212">
        <f t="shared" si="7"/>
        <v>4.75</v>
      </c>
      <c r="AE27" s="213">
        <v>5.0</v>
      </c>
      <c r="AF27" s="63">
        <v>4.0</v>
      </c>
      <c r="AG27" s="63">
        <v>4.0</v>
      </c>
      <c r="AH27" s="67">
        <f t="shared" si="8"/>
        <v>4.333333333</v>
      </c>
      <c r="AI27" s="251">
        <f t="shared" si="9"/>
        <v>4.841666667</v>
      </c>
    </row>
    <row r="28" ht="15.75" customHeight="1">
      <c r="A28" s="74">
        <v>21.0</v>
      </c>
      <c r="B28" s="312" t="s">
        <v>215</v>
      </c>
      <c r="C28" s="65" t="s">
        <v>44</v>
      </c>
      <c r="D28" s="62">
        <v>5.0</v>
      </c>
      <c r="E28" s="62">
        <v>5.0</v>
      </c>
      <c r="F28" s="66">
        <f t="shared" si="1"/>
        <v>5</v>
      </c>
      <c r="G28" s="62">
        <v>5.0</v>
      </c>
      <c r="H28" s="62">
        <v>4.0</v>
      </c>
      <c r="I28" s="209">
        <v>3.0</v>
      </c>
      <c r="J28" s="62">
        <v>4.0</v>
      </c>
      <c r="K28" s="62">
        <v>5.0</v>
      </c>
      <c r="L28" s="210">
        <f t="shared" si="3"/>
        <v>4.5</v>
      </c>
      <c r="M28" s="62">
        <v>4.0</v>
      </c>
      <c r="N28" s="62">
        <v>4.0</v>
      </c>
      <c r="O28" s="63">
        <v>5.0</v>
      </c>
      <c r="P28" s="71">
        <f t="shared" si="4"/>
        <v>4.5</v>
      </c>
      <c r="Q28" s="62">
        <v>4.0</v>
      </c>
      <c r="R28" s="62">
        <v>4.0</v>
      </c>
      <c r="S28" s="63">
        <v>4.0</v>
      </c>
      <c r="T28" s="62">
        <v>4.0</v>
      </c>
      <c r="U28" s="211">
        <f t="shared" si="5"/>
        <v>4</v>
      </c>
      <c r="V28" s="62">
        <v>4.0</v>
      </c>
      <c r="W28" s="63">
        <v>4.0</v>
      </c>
      <c r="X28" s="62">
        <v>4.0</v>
      </c>
      <c r="Y28" s="78">
        <f t="shared" si="6"/>
        <v>4</v>
      </c>
      <c r="Z28" s="62">
        <v>5.0</v>
      </c>
      <c r="AA28" s="62">
        <v>5.0</v>
      </c>
      <c r="AB28" s="63">
        <v>4.0</v>
      </c>
      <c r="AC28" s="250">
        <v>4.0</v>
      </c>
      <c r="AD28" s="212">
        <f t="shared" si="7"/>
        <v>4.5</v>
      </c>
      <c r="AE28" s="213">
        <v>5.0</v>
      </c>
      <c r="AF28" s="63">
        <v>4.0</v>
      </c>
      <c r="AG28" s="63">
        <v>4.0</v>
      </c>
      <c r="AH28" s="67">
        <f t="shared" si="8"/>
        <v>4.333333333</v>
      </c>
      <c r="AI28" s="251">
        <f t="shared" si="9"/>
        <v>4.233333333</v>
      </c>
    </row>
    <row r="29" ht="15.75" customHeight="1">
      <c r="A29" s="74">
        <v>22.0</v>
      </c>
      <c r="B29" s="312" t="s">
        <v>216</v>
      </c>
      <c r="C29" s="65" t="s">
        <v>45</v>
      </c>
      <c r="D29" s="62">
        <v>6.0</v>
      </c>
      <c r="E29" s="62">
        <v>6.0</v>
      </c>
      <c r="F29" s="66">
        <f t="shared" si="1"/>
        <v>6</v>
      </c>
      <c r="G29" s="62">
        <v>6.0</v>
      </c>
      <c r="H29" s="62">
        <v>6.0</v>
      </c>
      <c r="I29" s="209">
        <f t="shared" ref="I29:I34" si="10">SUM(G29:H29)/2</f>
        <v>6</v>
      </c>
      <c r="J29" s="62">
        <v>6.0</v>
      </c>
      <c r="K29" s="62">
        <v>6.0</v>
      </c>
      <c r="L29" s="210">
        <f t="shared" si="3"/>
        <v>6</v>
      </c>
      <c r="M29" s="62">
        <v>4.0</v>
      </c>
      <c r="N29" s="62">
        <v>4.0</v>
      </c>
      <c r="O29" s="63">
        <v>5.0</v>
      </c>
      <c r="P29" s="71">
        <f t="shared" si="4"/>
        <v>4.5</v>
      </c>
      <c r="Q29" s="62">
        <v>6.0</v>
      </c>
      <c r="R29" s="62">
        <v>5.0</v>
      </c>
      <c r="S29" s="63">
        <v>5.0</v>
      </c>
      <c r="T29" s="62">
        <v>5.0</v>
      </c>
      <c r="U29" s="211">
        <f t="shared" si="5"/>
        <v>5</v>
      </c>
      <c r="V29" s="62">
        <v>5.0</v>
      </c>
      <c r="W29" s="63">
        <v>5.0</v>
      </c>
      <c r="X29" s="62">
        <v>5.0</v>
      </c>
      <c r="Y29" s="78">
        <f t="shared" si="6"/>
        <v>5</v>
      </c>
      <c r="Z29" s="62">
        <v>6.0</v>
      </c>
      <c r="AA29" s="62">
        <v>6.0</v>
      </c>
      <c r="AB29" s="63">
        <v>6.0</v>
      </c>
      <c r="AC29" s="250">
        <v>5.0</v>
      </c>
      <c r="AD29" s="212">
        <f t="shared" si="7"/>
        <v>5.75</v>
      </c>
      <c r="AE29" s="213">
        <v>6.0</v>
      </c>
      <c r="AF29" s="63">
        <v>5.0</v>
      </c>
      <c r="AG29" s="63">
        <v>5.0</v>
      </c>
      <c r="AH29" s="67">
        <f t="shared" si="8"/>
        <v>5.333333333</v>
      </c>
      <c r="AI29" s="251">
        <f t="shared" si="9"/>
        <v>5.308333333</v>
      </c>
    </row>
    <row r="30" ht="15.75" customHeight="1">
      <c r="A30" s="74">
        <v>23.0</v>
      </c>
      <c r="B30" s="312" t="s">
        <v>217</v>
      </c>
      <c r="C30" s="65" t="s">
        <v>45</v>
      </c>
      <c r="D30" s="62">
        <v>6.0</v>
      </c>
      <c r="E30" s="62">
        <v>6.0</v>
      </c>
      <c r="F30" s="66">
        <f t="shared" si="1"/>
        <v>6</v>
      </c>
      <c r="G30" s="62">
        <v>6.0</v>
      </c>
      <c r="H30" s="62">
        <v>5.0</v>
      </c>
      <c r="I30" s="209">
        <f t="shared" si="10"/>
        <v>5.5</v>
      </c>
      <c r="J30" s="62">
        <v>4.0</v>
      </c>
      <c r="K30" s="62">
        <v>5.0</v>
      </c>
      <c r="L30" s="210">
        <f t="shared" si="3"/>
        <v>4.5</v>
      </c>
      <c r="M30" s="62">
        <v>4.0</v>
      </c>
      <c r="N30" s="62">
        <v>4.0</v>
      </c>
      <c r="O30" s="63">
        <v>4.0</v>
      </c>
      <c r="P30" s="71">
        <f t="shared" si="4"/>
        <v>4</v>
      </c>
      <c r="Q30" s="62">
        <v>5.0</v>
      </c>
      <c r="R30" s="62">
        <v>5.0</v>
      </c>
      <c r="S30" s="63">
        <v>5.0</v>
      </c>
      <c r="T30" s="62">
        <v>5.0</v>
      </c>
      <c r="U30" s="211">
        <f t="shared" si="5"/>
        <v>5</v>
      </c>
      <c r="V30" s="62">
        <v>4.0</v>
      </c>
      <c r="W30" s="63">
        <v>4.0</v>
      </c>
      <c r="X30" s="62">
        <v>4.0</v>
      </c>
      <c r="Y30" s="78">
        <f t="shared" si="6"/>
        <v>4</v>
      </c>
      <c r="Z30" s="62">
        <v>5.0</v>
      </c>
      <c r="AA30" s="62">
        <v>5.0</v>
      </c>
      <c r="AB30" s="63">
        <v>5.0</v>
      </c>
      <c r="AC30" s="250">
        <v>5.0</v>
      </c>
      <c r="AD30" s="212">
        <f t="shared" si="7"/>
        <v>5</v>
      </c>
      <c r="AE30" s="213">
        <v>5.0</v>
      </c>
      <c r="AF30" s="63">
        <v>5.0</v>
      </c>
      <c r="AG30" s="63">
        <v>4.0</v>
      </c>
      <c r="AH30" s="67">
        <f t="shared" si="8"/>
        <v>4.666666667</v>
      </c>
      <c r="AI30" s="251">
        <f t="shared" si="9"/>
        <v>4.616666667</v>
      </c>
    </row>
    <row r="31" ht="15.75" customHeight="1">
      <c r="A31" s="74">
        <v>24.0</v>
      </c>
      <c r="B31" s="312" t="s">
        <v>218</v>
      </c>
      <c r="C31" s="65" t="s">
        <v>45</v>
      </c>
      <c r="D31" s="62">
        <v>6.0</v>
      </c>
      <c r="E31" s="62">
        <v>5.0</v>
      </c>
      <c r="F31" s="66">
        <f t="shared" si="1"/>
        <v>5.5</v>
      </c>
      <c r="G31" s="62">
        <v>6.0</v>
      </c>
      <c r="H31" s="62">
        <v>6.0</v>
      </c>
      <c r="I31" s="209">
        <f t="shared" si="10"/>
        <v>6</v>
      </c>
      <c r="J31" s="62">
        <v>5.0</v>
      </c>
      <c r="K31" s="62">
        <v>5.0</v>
      </c>
      <c r="L31" s="210">
        <f t="shared" si="3"/>
        <v>5</v>
      </c>
      <c r="M31" s="62">
        <v>4.0</v>
      </c>
      <c r="N31" s="62">
        <v>4.0</v>
      </c>
      <c r="O31" s="63">
        <v>4.0</v>
      </c>
      <c r="P31" s="71">
        <f t="shared" si="4"/>
        <v>4</v>
      </c>
      <c r="Q31" s="62">
        <v>5.0</v>
      </c>
      <c r="R31" s="62">
        <v>5.0</v>
      </c>
      <c r="S31" s="63">
        <v>5.0</v>
      </c>
      <c r="T31" s="62">
        <v>5.0</v>
      </c>
      <c r="U31" s="211">
        <f t="shared" si="5"/>
        <v>5</v>
      </c>
      <c r="V31" s="62">
        <v>4.0</v>
      </c>
      <c r="W31" s="63">
        <v>4.0</v>
      </c>
      <c r="X31" s="62">
        <v>4.0</v>
      </c>
      <c r="Y31" s="78">
        <f t="shared" si="6"/>
        <v>4</v>
      </c>
      <c r="Z31" s="62">
        <v>5.0</v>
      </c>
      <c r="AA31" s="62">
        <v>5.0</v>
      </c>
      <c r="AB31" s="63">
        <v>5.0</v>
      </c>
      <c r="AC31" s="250">
        <v>4.0</v>
      </c>
      <c r="AD31" s="212">
        <f t="shared" si="7"/>
        <v>4.75</v>
      </c>
      <c r="AE31" s="213">
        <v>5.0</v>
      </c>
      <c r="AF31" s="63">
        <v>5.0</v>
      </c>
      <c r="AG31" s="63">
        <v>4.0</v>
      </c>
      <c r="AH31" s="67">
        <f t="shared" si="8"/>
        <v>4.666666667</v>
      </c>
      <c r="AI31" s="251">
        <f t="shared" si="9"/>
        <v>4.741666667</v>
      </c>
    </row>
    <row r="32" ht="15.75" customHeight="1">
      <c r="A32" s="74">
        <v>25.0</v>
      </c>
      <c r="B32" s="312" t="s">
        <v>219</v>
      </c>
      <c r="C32" s="65" t="s">
        <v>45</v>
      </c>
      <c r="D32" s="62">
        <v>6.0</v>
      </c>
      <c r="E32" s="62">
        <v>6.0</v>
      </c>
      <c r="F32" s="66">
        <f t="shared" si="1"/>
        <v>6</v>
      </c>
      <c r="G32" s="62">
        <v>6.0</v>
      </c>
      <c r="H32" s="62">
        <v>6.0</v>
      </c>
      <c r="I32" s="209">
        <f t="shared" si="10"/>
        <v>6</v>
      </c>
      <c r="J32" s="62">
        <v>4.0</v>
      </c>
      <c r="K32" s="62">
        <v>5.0</v>
      </c>
      <c r="L32" s="210">
        <f t="shared" si="3"/>
        <v>4.5</v>
      </c>
      <c r="M32" s="62">
        <v>4.0</v>
      </c>
      <c r="N32" s="62">
        <v>4.0</v>
      </c>
      <c r="O32" s="63">
        <v>4.0</v>
      </c>
      <c r="P32" s="71">
        <f t="shared" si="4"/>
        <v>4</v>
      </c>
      <c r="Q32" s="62">
        <v>6.0</v>
      </c>
      <c r="R32" s="62">
        <v>5.0</v>
      </c>
      <c r="S32" s="63">
        <v>5.0</v>
      </c>
      <c r="T32" s="62">
        <v>5.0</v>
      </c>
      <c r="U32" s="211">
        <f t="shared" si="5"/>
        <v>5</v>
      </c>
      <c r="V32" s="62">
        <v>5.0</v>
      </c>
      <c r="W32" s="63">
        <v>5.0</v>
      </c>
      <c r="X32" s="62">
        <v>4.0</v>
      </c>
      <c r="Y32" s="78">
        <f t="shared" si="6"/>
        <v>4.666666667</v>
      </c>
      <c r="Z32" s="62">
        <v>6.0</v>
      </c>
      <c r="AA32" s="62">
        <v>6.0</v>
      </c>
      <c r="AB32" s="63">
        <v>5.0</v>
      </c>
      <c r="AC32" s="250">
        <v>5.0</v>
      </c>
      <c r="AD32" s="212">
        <f t="shared" si="7"/>
        <v>5.5</v>
      </c>
      <c r="AE32" s="213">
        <v>6.0</v>
      </c>
      <c r="AF32" s="63">
        <v>5.0</v>
      </c>
      <c r="AG32" s="63">
        <v>4.0</v>
      </c>
      <c r="AH32" s="67">
        <f t="shared" si="8"/>
        <v>5</v>
      </c>
      <c r="AI32" s="251">
        <f t="shared" si="9"/>
        <v>4.966666667</v>
      </c>
    </row>
    <row r="33" ht="15.75" customHeight="1">
      <c r="A33" s="74">
        <v>26.0</v>
      </c>
      <c r="B33" s="312" t="s">
        <v>220</v>
      </c>
      <c r="C33" s="65" t="s">
        <v>45</v>
      </c>
      <c r="D33" s="62">
        <v>6.0</v>
      </c>
      <c r="E33" s="62">
        <v>6.0</v>
      </c>
      <c r="F33" s="66">
        <f t="shared" si="1"/>
        <v>6</v>
      </c>
      <c r="G33" s="62">
        <v>6.0</v>
      </c>
      <c r="H33" s="62">
        <v>6.0</v>
      </c>
      <c r="I33" s="209">
        <f t="shared" si="10"/>
        <v>6</v>
      </c>
      <c r="J33" s="62">
        <v>6.0</v>
      </c>
      <c r="K33" s="62">
        <v>6.0</v>
      </c>
      <c r="L33" s="210">
        <f t="shared" si="3"/>
        <v>6</v>
      </c>
      <c r="M33" s="62">
        <v>4.0</v>
      </c>
      <c r="N33" s="62">
        <v>4.0</v>
      </c>
      <c r="O33" s="63">
        <v>5.0</v>
      </c>
      <c r="P33" s="71">
        <f t="shared" si="4"/>
        <v>4.5</v>
      </c>
      <c r="Q33" s="62">
        <v>6.0</v>
      </c>
      <c r="R33" s="62">
        <v>6.0</v>
      </c>
      <c r="S33" s="63">
        <v>5.0</v>
      </c>
      <c r="T33" s="62">
        <v>5.0</v>
      </c>
      <c r="U33" s="211">
        <f t="shared" si="5"/>
        <v>5.333333333</v>
      </c>
      <c r="V33" s="62">
        <v>5.0</v>
      </c>
      <c r="W33" s="63">
        <v>5.0</v>
      </c>
      <c r="X33" s="62">
        <v>5.0</v>
      </c>
      <c r="Y33" s="78">
        <f t="shared" si="6"/>
        <v>5</v>
      </c>
      <c r="Z33" s="62">
        <v>6.0</v>
      </c>
      <c r="AA33" s="62">
        <v>6.0</v>
      </c>
      <c r="AB33" s="63">
        <v>5.0</v>
      </c>
      <c r="AC33" s="250">
        <v>5.0</v>
      </c>
      <c r="AD33" s="212">
        <f t="shared" si="7"/>
        <v>5.5</v>
      </c>
      <c r="AE33" s="213">
        <v>6.0</v>
      </c>
      <c r="AF33" s="63">
        <v>5.0</v>
      </c>
      <c r="AG33" s="63">
        <v>4.0</v>
      </c>
      <c r="AH33" s="67">
        <f t="shared" si="8"/>
        <v>5</v>
      </c>
      <c r="AI33" s="251">
        <f t="shared" si="9"/>
        <v>5.283333333</v>
      </c>
    </row>
    <row r="34" ht="15.75" customHeight="1">
      <c r="A34" s="74">
        <v>27.0</v>
      </c>
      <c r="B34" s="312" t="s">
        <v>221</v>
      </c>
      <c r="C34" s="65" t="s">
        <v>45</v>
      </c>
      <c r="D34" s="62">
        <v>6.0</v>
      </c>
      <c r="E34" s="62">
        <v>5.0</v>
      </c>
      <c r="F34" s="66">
        <f t="shared" si="1"/>
        <v>5.5</v>
      </c>
      <c r="G34" s="62">
        <v>6.0</v>
      </c>
      <c r="H34" s="62">
        <v>5.0</v>
      </c>
      <c r="I34" s="209">
        <f t="shared" si="10"/>
        <v>5.5</v>
      </c>
      <c r="J34" s="62">
        <v>4.0</v>
      </c>
      <c r="K34" s="62">
        <v>5.0</v>
      </c>
      <c r="L34" s="210">
        <f t="shared" si="3"/>
        <v>4.5</v>
      </c>
      <c r="M34" s="62">
        <v>4.0</v>
      </c>
      <c r="N34" s="62">
        <v>4.0</v>
      </c>
      <c r="O34" s="63">
        <v>4.0</v>
      </c>
      <c r="P34" s="71">
        <f t="shared" si="4"/>
        <v>4</v>
      </c>
      <c r="Q34" s="62">
        <v>5.0</v>
      </c>
      <c r="R34" s="62">
        <v>5.0</v>
      </c>
      <c r="S34" s="63">
        <v>4.0</v>
      </c>
      <c r="T34" s="62">
        <v>4.0</v>
      </c>
      <c r="U34" s="211">
        <f t="shared" si="5"/>
        <v>4.333333333</v>
      </c>
      <c r="V34" s="62">
        <v>4.0</v>
      </c>
      <c r="W34" s="63">
        <v>4.0</v>
      </c>
      <c r="X34" s="62">
        <v>4.0</v>
      </c>
      <c r="Y34" s="78">
        <f t="shared" si="6"/>
        <v>4</v>
      </c>
      <c r="Z34" s="62">
        <v>5.0</v>
      </c>
      <c r="AA34" s="62">
        <v>5.0</v>
      </c>
      <c r="AB34" s="63">
        <v>5.0</v>
      </c>
      <c r="AC34" s="250">
        <v>4.0</v>
      </c>
      <c r="AD34" s="212">
        <f t="shared" si="7"/>
        <v>4.75</v>
      </c>
      <c r="AE34" s="213">
        <v>4.0</v>
      </c>
      <c r="AF34" s="63">
        <v>4.0</v>
      </c>
      <c r="AG34" s="63">
        <v>4.0</v>
      </c>
      <c r="AH34" s="67">
        <f t="shared" si="8"/>
        <v>4</v>
      </c>
      <c r="AI34" s="251">
        <f t="shared" si="9"/>
        <v>4.458333333</v>
      </c>
    </row>
    <row r="35" ht="15.75" customHeight="1">
      <c r="A35" s="74">
        <v>28.0</v>
      </c>
      <c r="B35" s="312" t="s">
        <v>222</v>
      </c>
      <c r="C35" s="65" t="s">
        <v>45</v>
      </c>
      <c r="D35" s="62">
        <v>6.0</v>
      </c>
      <c r="E35" s="62">
        <v>6.0</v>
      </c>
      <c r="F35" s="66">
        <v>6.0</v>
      </c>
      <c r="G35" s="62">
        <v>6.0</v>
      </c>
      <c r="H35" s="62">
        <v>6.0</v>
      </c>
      <c r="I35" s="209">
        <v>6.0</v>
      </c>
      <c r="J35" s="62">
        <v>6.0</v>
      </c>
      <c r="K35" s="62">
        <v>6.0</v>
      </c>
      <c r="L35" s="210">
        <v>6.0</v>
      </c>
      <c r="M35" s="62">
        <v>6.0</v>
      </c>
      <c r="N35" s="62">
        <v>5.0</v>
      </c>
      <c r="O35" s="63">
        <v>6.0</v>
      </c>
      <c r="P35" s="71">
        <v>6.0</v>
      </c>
      <c r="Q35" s="62">
        <v>6.0</v>
      </c>
      <c r="R35" s="62">
        <v>6.0</v>
      </c>
      <c r="S35" s="63">
        <v>5.0</v>
      </c>
      <c r="T35" s="62">
        <v>5.0</v>
      </c>
      <c r="U35" s="211">
        <v>5.0</v>
      </c>
      <c r="V35" s="62">
        <v>5.0</v>
      </c>
      <c r="W35" s="63">
        <v>5.0</v>
      </c>
      <c r="X35" s="62">
        <v>5.0</v>
      </c>
      <c r="Y35" s="78">
        <v>5.0</v>
      </c>
      <c r="Z35" s="62">
        <v>6.0</v>
      </c>
      <c r="AA35" s="62">
        <v>6.0</v>
      </c>
      <c r="AB35" s="63">
        <v>6.0</v>
      </c>
      <c r="AC35" s="250">
        <v>5.0</v>
      </c>
      <c r="AD35" s="212">
        <v>6.0</v>
      </c>
      <c r="AE35" s="213">
        <v>6.0</v>
      </c>
      <c r="AF35" s="63">
        <v>6.0</v>
      </c>
      <c r="AG35" s="63">
        <v>5.0</v>
      </c>
      <c r="AH35" s="67">
        <v>6.0</v>
      </c>
      <c r="AI35" s="214">
        <v>6.0</v>
      </c>
    </row>
    <row r="36" ht="15.75" customHeight="1">
      <c r="A36" s="74">
        <v>29.0</v>
      </c>
      <c r="B36" s="312" t="s">
        <v>223</v>
      </c>
      <c r="C36" s="65" t="s">
        <v>45</v>
      </c>
      <c r="D36" s="62">
        <v>5.0</v>
      </c>
      <c r="E36" s="62">
        <v>4.0</v>
      </c>
      <c r="F36" s="66">
        <v>5.0</v>
      </c>
      <c r="G36" s="62">
        <v>5.0</v>
      </c>
      <c r="H36" s="62">
        <v>4.0</v>
      </c>
      <c r="I36" s="209">
        <v>5.0</v>
      </c>
      <c r="J36" s="62">
        <v>4.0</v>
      </c>
      <c r="K36" s="62">
        <v>5.0</v>
      </c>
      <c r="L36" s="210">
        <v>5.0</v>
      </c>
      <c r="M36" s="62">
        <v>4.0</v>
      </c>
      <c r="N36" s="62">
        <v>4.0</v>
      </c>
      <c r="O36" s="63">
        <v>4.0</v>
      </c>
      <c r="P36" s="71">
        <v>4.0</v>
      </c>
      <c r="Q36" s="62">
        <v>4.0</v>
      </c>
      <c r="R36" s="62">
        <v>4.0</v>
      </c>
      <c r="S36" s="63">
        <v>4.0</v>
      </c>
      <c r="T36" s="62">
        <v>4.0</v>
      </c>
      <c r="U36" s="211">
        <v>4.0</v>
      </c>
      <c r="V36" s="62">
        <v>4.0</v>
      </c>
      <c r="W36" s="63">
        <v>4.0</v>
      </c>
      <c r="X36" s="62">
        <v>4.0</v>
      </c>
      <c r="Y36" s="78">
        <v>4.0</v>
      </c>
      <c r="Z36" s="62">
        <v>5.0</v>
      </c>
      <c r="AA36" s="62">
        <v>5.0</v>
      </c>
      <c r="AB36" s="63">
        <v>4.0</v>
      </c>
      <c r="AC36" s="250">
        <v>4.0</v>
      </c>
      <c r="AD36" s="212">
        <v>5.0</v>
      </c>
      <c r="AE36" s="213">
        <v>5.0</v>
      </c>
      <c r="AF36" s="63">
        <v>4.0</v>
      </c>
      <c r="AG36" s="63">
        <v>4.0</v>
      </c>
      <c r="AH36" s="67">
        <v>4.0</v>
      </c>
      <c r="AI36" s="214">
        <v>4.0</v>
      </c>
    </row>
    <row r="37" ht="15.75" customHeight="1">
      <c r="A37" s="74">
        <v>30.0</v>
      </c>
      <c r="B37" s="312" t="s">
        <v>224</v>
      </c>
      <c r="C37" s="65" t="s">
        <v>44</v>
      </c>
      <c r="D37" s="62">
        <v>6.0</v>
      </c>
      <c r="E37" s="62">
        <v>5.0</v>
      </c>
      <c r="F37" s="66">
        <v>5.0</v>
      </c>
      <c r="G37" s="62">
        <v>6.0</v>
      </c>
      <c r="H37" s="62">
        <v>5.0</v>
      </c>
      <c r="I37" s="209">
        <v>5.0</v>
      </c>
      <c r="J37" s="62">
        <v>5.0</v>
      </c>
      <c r="K37" s="62">
        <v>5.0</v>
      </c>
      <c r="L37" s="210">
        <v>5.0</v>
      </c>
      <c r="M37" s="62">
        <v>4.0</v>
      </c>
      <c r="N37" s="62">
        <v>4.0</v>
      </c>
      <c r="O37" s="63">
        <v>4.0</v>
      </c>
      <c r="P37" s="71">
        <v>4.0</v>
      </c>
      <c r="Q37" s="62">
        <v>5.0</v>
      </c>
      <c r="R37" s="62">
        <v>5.0</v>
      </c>
      <c r="S37" s="63">
        <v>4.0</v>
      </c>
      <c r="T37" s="62">
        <v>4.0</v>
      </c>
      <c r="U37" s="211">
        <v>4.0</v>
      </c>
      <c r="V37" s="62">
        <v>4.0</v>
      </c>
      <c r="W37" s="63">
        <v>4.0</v>
      </c>
      <c r="X37" s="62">
        <v>4.0</v>
      </c>
      <c r="Y37" s="78">
        <v>4.0</v>
      </c>
      <c r="Z37" s="62">
        <v>5.0</v>
      </c>
      <c r="AA37" s="62">
        <v>5.0</v>
      </c>
      <c r="AB37" s="63">
        <v>5.0</v>
      </c>
      <c r="AC37" s="250">
        <v>4.0</v>
      </c>
      <c r="AD37" s="212">
        <v>5.0</v>
      </c>
      <c r="AE37" s="213">
        <v>5.0</v>
      </c>
      <c r="AF37" s="63">
        <v>5.0</v>
      </c>
      <c r="AG37" s="63">
        <v>4.0</v>
      </c>
      <c r="AH37" s="67">
        <v>5.0</v>
      </c>
      <c r="AI37" s="214">
        <v>4.0</v>
      </c>
    </row>
    <row r="38" ht="15.75" customHeight="1">
      <c r="A38" s="74">
        <v>31.0</v>
      </c>
      <c r="B38" s="312" t="s">
        <v>225</v>
      </c>
      <c r="C38" s="65" t="s">
        <v>45</v>
      </c>
      <c r="D38" s="65">
        <v>6.0</v>
      </c>
      <c r="E38" s="65">
        <v>6.0</v>
      </c>
      <c r="F38" s="66">
        <v>6.0</v>
      </c>
      <c r="G38" s="75">
        <v>6.0</v>
      </c>
      <c r="H38" s="75">
        <v>6.0</v>
      </c>
      <c r="I38" s="209">
        <v>6.0</v>
      </c>
      <c r="J38" s="75">
        <v>5.0</v>
      </c>
      <c r="K38" s="75">
        <v>5.0</v>
      </c>
      <c r="L38" s="210">
        <v>5.0</v>
      </c>
      <c r="M38" s="75">
        <v>5.0</v>
      </c>
      <c r="N38" s="75">
        <v>5.0</v>
      </c>
      <c r="O38" s="75">
        <v>5.0</v>
      </c>
      <c r="P38" s="71">
        <v>5.0</v>
      </c>
      <c r="Q38" s="75">
        <v>6.0</v>
      </c>
      <c r="R38" s="75">
        <v>6.0</v>
      </c>
      <c r="S38" s="75">
        <v>6.0</v>
      </c>
      <c r="T38" s="75">
        <v>5.0</v>
      </c>
      <c r="U38" s="211">
        <v>6.0</v>
      </c>
      <c r="V38" s="75">
        <v>5.0</v>
      </c>
      <c r="W38" s="75">
        <v>5.0</v>
      </c>
      <c r="X38" s="75">
        <v>5.0</v>
      </c>
      <c r="Y38" s="78">
        <v>5.0</v>
      </c>
      <c r="Z38" s="62">
        <v>6.0</v>
      </c>
      <c r="AA38" s="62">
        <v>6.0</v>
      </c>
      <c r="AB38" s="63">
        <v>6.0</v>
      </c>
      <c r="AC38" s="250">
        <v>5.0</v>
      </c>
      <c r="AD38" s="212">
        <v>6.0</v>
      </c>
      <c r="AE38" s="213">
        <v>6.0</v>
      </c>
      <c r="AF38" s="63">
        <v>5.0</v>
      </c>
      <c r="AG38" s="63">
        <v>4.0</v>
      </c>
      <c r="AH38" s="67">
        <v>5.0</v>
      </c>
      <c r="AI38" s="214">
        <v>5.0</v>
      </c>
    </row>
    <row r="39" ht="15.75" customHeight="1">
      <c r="A39" s="74">
        <v>32.0</v>
      </c>
      <c r="B39" s="312" t="s">
        <v>226</v>
      </c>
      <c r="C39" s="65" t="s">
        <v>44</v>
      </c>
      <c r="D39" s="65">
        <v>6.0</v>
      </c>
      <c r="E39" s="65">
        <v>6.0</v>
      </c>
      <c r="F39" s="66">
        <v>6.0</v>
      </c>
      <c r="G39" s="75">
        <v>6.0</v>
      </c>
      <c r="H39" s="75">
        <v>6.0</v>
      </c>
      <c r="I39" s="209">
        <v>6.0</v>
      </c>
      <c r="J39" s="75">
        <v>6.0</v>
      </c>
      <c r="K39" s="75">
        <v>6.0</v>
      </c>
      <c r="L39" s="210">
        <v>6.0</v>
      </c>
      <c r="M39" s="75">
        <v>5.0</v>
      </c>
      <c r="N39" s="75">
        <v>5.0</v>
      </c>
      <c r="O39" s="75">
        <v>6.0</v>
      </c>
      <c r="P39" s="71">
        <v>5.0</v>
      </c>
      <c r="Q39" s="75">
        <v>6.0</v>
      </c>
      <c r="R39" s="75">
        <v>6.0</v>
      </c>
      <c r="S39" s="75">
        <v>5.0</v>
      </c>
      <c r="T39" s="75">
        <v>5.0</v>
      </c>
      <c r="U39" s="211">
        <v>6.0</v>
      </c>
      <c r="V39" s="75">
        <v>5.0</v>
      </c>
      <c r="W39" s="75">
        <v>5.0</v>
      </c>
      <c r="X39" s="75">
        <v>5.0</v>
      </c>
      <c r="Y39" s="78">
        <v>5.0</v>
      </c>
      <c r="Z39" s="62">
        <v>6.0</v>
      </c>
      <c r="AA39" s="62">
        <v>6.0</v>
      </c>
      <c r="AB39" s="63">
        <v>5.0</v>
      </c>
      <c r="AC39" s="250">
        <v>5.0</v>
      </c>
      <c r="AD39" s="212">
        <v>6.0</v>
      </c>
      <c r="AE39" s="213">
        <v>6.0</v>
      </c>
      <c r="AF39" s="63">
        <v>5.0</v>
      </c>
      <c r="AG39" s="63">
        <v>5.0</v>
      </c>
      <c r="AH39" s="67">
        <v>6.0</v>
      </c>
      <c r="AI39" s="214">
        <v>6.0</v>
      </c>
    </row>
    <row r="40" ht="15.75" customHeight="1">
      <c r="A40" s="74">
        <v>33.0</v>
      </c>
      <c r="B40" s="304"/>
      <c r="C40" s="65"/>
      <c r="D40" s="65"/>
      <c r="E40" s="65"/>
      <c r="F40" s="66"/>
      <c r="G40" s="75"/>
      <c r="H40" s="75"/>
      <c r="I40" s="209"/>
      <c r="J40" s="75"/>
      <c r="K40" s="75"/>
      <c r="L40" s="210"/>
      <c r="M40" s="75"/>
      <c r="N40" s="75"/>
      <c r="O40" s="75"/>
      <c r="P40" s="71"/>
      <c r="Q40" s="75"/>
      <c r="R40" s="75"/>
      <c r="S40" s="75"/>
      <c r="T40" s="75"/>
      <c r="U40" s="211"/>
      <c r="V40" s="75"/>
      <c r="W40" s="75"/>
      <c r="X40" s="75"/>
      <c r="Y40" s="78"/>
      <c r="Z40" s="62"/>
      <c r="AA40" s="62"/>
      <c r="AB40" s="63"/>
      <c r="AC40" s="250"/>
      <c r="AD40" s="212"/>
      <c r="AE40" s="213"/>
      <c r="AF40" s="63"/>
      <c r="AG40" s="63"/>
      <c r="AH40" s="67"/>
      <c r="AI40" s="214"/>
    </row>
    <row r="41" ht="15.75" customHeight="1">
      <c r="A41" s="74">
        <v>34.0</v>
      </c>
      <c r="B41" s="304"/>
      <c r="C41" s="65"/>
      <c r="D41" s="65"/>
      <c r="E41" s="65"/>
      <c r="F41" s="66"/>
      <c r="G41" s="75"/>
      <c r="H41" s="75"/>
      <c r="I41" s="209"/>
      <c r="J41" s="75"/>
      <c r="K41" s="75"/>
      <c r="L41" s="210"/>
      <c r="M41" s="75"/>
      <c r="N41" s="75"/>
      <c r="O41" s="75"/>
      <c r="P41" s="71"/>
      <c r="Q41" s="75"/>
      <c r="R41" s="75"/>
      <c r="S41" s="75"/>
      <c r="T41" s="75"/>
      <c r="U41" s="211"/>
      <c r="V41" s="75"/>
      <c r="W41" s="75"/>
      <c r="X41" s="75"/>
      <c r="Y41" s="78"/>
      <c r="Z41" s="62"/>
      <c r="AA41" s="62"/>
      <c r="AB41" s="63"/>
      <c r="AC41" s="250"/>
      <c r="AD41" s="212"/>
      <c r="AE41" s="213"/>
      <c r="AF41" s="63"/>
      <c r="AG41" s="63"/>
      <c r="AH41" s="67"/>
      <c r="AI41" s="214"/>
    </row>
    <row r="42" ht="15.75" customHeight="1">
      <c r="A42" s="74">
        <v>35.0</v>
      </c>
      <c r="B42" s="304"/>
      <c r="C42" s="65"/>
      <c r="D42" s="65"/>
      <c r="E42" s="65"/>
      <c r="F42" s="66"/>
      <c r="G42" s="75"/>
      <c r="H42" s="75"/>
      <c r="I42" s="209"/>
      <c r="J42" s="75"/>
      <c r="K42" s="75"/>
      <c r="L42" s="210"/>
      <c r="M42" s="75"/>
      <c r="N42" s="75"/>
      <c r="O42" s="75"/>
      <c r="P42" s="71"/>
      <c r="Q42" s="75"/>
      <c r="R42" s="75"/>
      <c r="S42" s="75"/>
      <c r="T42" s="75"/>
      <c r="U42" s="211"/>
      <c r="V42" s="75"/>
      <c r="W42" s="75"/>
      <c r="X42" s="75"/>
      <c r="Y42" s="78"/>
      <c r="Z42" s="62"/>
      <c r="AA42" s="62"/>
      <c r="AB42" s="63"/>
      <c r="AC42" s="250"/>
      <c r="AD42" s="212"/>
      <c r="AE42" s="213"/>
      <c r="AF42" s="63"/>
      <c r="AG42" s="63"/>
      <c r="AH42" s="67"/>
      <c r="AI42" s="214"/>
    </row>
    <row r="43" ht="15.75" customHeight="1">
      <c r="A43" s="74">
        <v>36.0</v>
      </c>
      <c r="B43" s="304"/>
      <c r="C43" s="65"/>
      <c r="D43" s="65"/>
      <c r="E43" s="65"/>
      <c r="F43" s="66"/>
      <c r="G43" s="75"/>
      <c r="H43" s="75"/>
      <c r="I43" s="209"/>
      <c r="J43" s="75"/>
      <c r="K43" s="75"/>
      <c r="L43" s="210"/>
      <c r="M43" s="75"/>
      <c r="N43" s="75"/>
      <c r="O43" s="75"/>
      <c r="P43" s="71"/>
      <c r="Q43" s="75"/>
      <c r="R43" s="75"/>
      <c r="S43" s="75"/>
      <c r="T43" s="75"/>
      <c r="U43" s="211"/>
      <c r="V43" s="75"/>
      <c r="W43" s="75"/>
      <c r="X43" s="75"/>
      <c r="Y43" s="78"/>
      <c r="Z43" s="62"/>
      <c r="AA43" s="62"/>
      <c r="AB43" s="63"/>
      <c r="AC43" s="250"/>
      <c r="AD43" s="212"/>
      <c r="AE43" s="213"/>
      <c r="AF43" s="63"/>
      <c r="AG43" s="63"/>
      <c r="AH43" s="67"/>
      <c r="AI43" s="214"/>
    </row>
    <row r="44" ht="15.75" customHeight="1">
      <c r="A44" s="132">
        <v>37.0</v>
      </c>
      <c r="B44" s="304"/>
      <c r="C44" s="253"/>
      <c r="D44" s="253"/>
      <c r="E44" s="253"/>
      <c r="F44" s="134"/>
      <c r="G44" s="133"/>
      <c r="H44" s="133"/>
      <c r="I44" s="254"/>
      <c r="J44" s="133"/>
      <c r="K44" s="133"/>
      <c r="L44" s="255"/>
      <c r="M44" s="133"/>
      <c r="N44" s="133"/>
      <c r="O44" s="133"/>
      <c r="P44" s="139"/>
      <c r="Q44" s="133"/>
      <c r="R44" s="133"/>
      <c r="S44" s="133"/>
      <c r="T44" s="133"/>
      <c r="U44" s="256"/>
      <c r="V44" s="133"/>
      <c r="W44" s="133"/>
      <c r="X44" s="133"/>
      <c r="Y44" s="140"/>
      <c r="Z44" s="62"/>
      <c r="AA44" s="62"/>
      <c r="AB44" s="63"/>
      <c r="AC44" s="250"/>
      <c r="AD44" s="212"/>
      <c r="AE44" s="213"/>
      <c r="AF44" s="63"/>
      <c r="AG44" s="63"/>
      <c r="AH44" s="67"/>
      <c r="AI44" s="214"/>
    </row>
    <row r="45" ht="15.75" customHeight="1">
      <c r="A45" s="313">
        <v>38.0</v>
      </c>
      <c r="B45" s="294"/>
      <c r="C45" s="88"/>
      <c r="D45" s="88"/>
      <c r="E45" s="88"/>
      <c r="F45" s="134"/>
      <c r="G45" s="87"/>
      <c r="H45" s="87"/>
      <c r="I45" s="254"/>
      <c r="J45" s="87"/>
      <c r="K45" s="87"/>
      <c r="L45" s="255"/>
      <c r="M45" s="87"/>
      <c r="N45" s="87"/>
      <c r="O45" s="87"/>
      <c r="P45" s="139"/>
      <c r="Q45" s="87"/>
      <c r="R45" s="87"/>
      <c r="S45" s="87"/>
      <c r="T45" s="87"/>
      <c r="U45" s="256"/>
      <c r="V45" s="87"/>
      <c r="W45" s="87"/>
      <c r="X45" s="87"/>
      <c r="Y45" s="140"/>
      <c r="Z45" s="62"/>
      <c r="AA45" s="62"/>
      <c r="AB45" s="63"/>
      <c r="AC45" s="250"/>
      <c r="AD45" s="212"/>
      <c r="AE45" s="213"/>
      <c r="AF45" s="63"/>
      <c r="AG45" s="63"/>
      <c r="AH45" s="67"/>
      <c r="AI45" s="214"/>
    </row>
    <row r="46" ht="15.75" customHeight="1">
      <c r="A46" s="313">
        <v>39.0</v>
      </c>
      <c r="B46" s="294"/>
      <c r="C46" s="88"/>
      <c r="D46" s="88"/>
      <c r="E46" s="88"/>
      <c r="F46" s="134"/>
      <c r="G46" s="87"/>
      <c r="H46" s="87"/>
      <c r="I46" s="254"/>
      <c r="J46" s="87"/>
      <c r="K46" s="87"/>
      <c r="L46" s="255"/>
      <c r="M46" s="87"/>
      <c r="N46" s="87"/>
      <c r="O46" s="87"/>
      <c r="P46" s="139"/>
      <c r="Q46" s="87"/>
      <c r="R46" s="87"/>
      <c r="S46" s="87"/>
      <c r="T46" s="87"/>
      <c r="U46" s="256"/>
      <c r="V46" s="87"/>
      <c r="W46" s="87"/>
      <c r="X46" s="87"/>
      <c r="Y46" s="140"/>
      <c r="Z46" s="62"/>
      <c r="AA46" s="62"/>
      <c r="AB46" s="63"/>
      <c r="AC46" s="250"/>
      <c r="AD46" s="212"/>
      <c r="AE46" s="213"/>
      <c r="AF46" s="63"/>
      <c r="AG46" s="63"/>
      <c r="AH46" s="67"/>
      <c r="AI46" s="214"/>
    </row>
    <row r="47" ht="15.75" customHeight="1">
      <c r="A47" s="313">
        <v>40.0</v>
      </c>
      <c r="B47" s="87"/>
      <c r="C47" s="88"/>
      <c r="D47" s="88"/>
      <c r="E47" s="88"/>
      <c r="F47" s="134"/>
      <c r="G47" s="87"/>
      <c r="H47" s="87"/>
      <c r="I47" s="254"/>
      <c r="J47" s="87"/>
      <c r="K47" s="87"/>
      <c r="L47" s="255"/>
      <c r="M47" s="87"/>
      <c r="N47" s="87"/>
      <c r="O47" s="87"/>
      <c r="P47" s="139"/>
      <c r="Q47" s="87"/>
      <c r="R47" s="87"/>
      <c r="S47" s="87"/>
      <c r="T47" s="87"/>
      <c r="U47" s="256"/>
      <c r="V47" s="87"/>
      <c r="W47" s="87"/>
      <c r="X47" s="87"/>
      <c r="Y47" s="140"/>
      <c r="Z47" s="62"/>
      <c r="AA47" s="62"/>
      <c r="AB47" s="63"/>
      <c r="AC47" s="250"/>
      <c r="AD47" s="212"/>
      <c r="AE47" s="213"/>
      <c r="AF47" s="63"/>
      <c r="AG47" s="63"/>
      <c r="AH47" s="67"/>
      <c r="AI47" s="214"/>
    </row>
    <row r="48" ht="15.75" customHeight="1">
      <c r="C48" s="91"/>
    </row>
    <row r="49" ht="15.75" customHeight="1">
      <c r="C49" s="91"/>
    </row>
    <row r="50" ht="15.75" customHeight="1">
      <c r="C50" s="91"/>
    </row>
    <row r="51" ht="15.75" customHeight="1">
      <c r="C51" s="91"/>
    </row>
    <row r="52" ht="15.75" customHeight="1">
      <c r="C52" s="91"/>
    </row>
    <row r="53" ht="15.75" customHeight="1">
      <c r="C53" s="91"/>
    </row>
    <row r="54" ht="15.75" customHeight="1">
      <c r="C54" s="91"/>
    </row>
    <row r="55" ht="15.75" customHeight="1">
      <c r="C55" s="91"/>
    </row>
    <row r="56" ht="15.75" customHeight="1">
      <c r="C56" s="91"/>
    </row>
    <row r="57" ht="15.75" customHeight="1">
      <c r="C57" s="91"/>
    </row>
    <row r="58" ht="15.75" customHeight="1">
      <c r="C58" s="91"/>
    </row>
    <row r="59" ht="15.75" customHeight="1">
      <c r="C59" s="91"/>
    </row>
    <row r="60" ht="15.75" customHeight="1">
      <c r="C60" s="91"/>
    </row>
    <row r="61" ht="15.75" customHeight="1">
      <c r="C61" s="91"/>
    </row>
    <row r="62" ht="15.75" customHeight="1">
      <c r="C62" s="91"/>
    </row>
    <row r="63" ht="15.75" customHeight="1">
      <c r="C63" s="91"/>
    </row>
    <row r="64" ht="15.75" customHeight="1">
      <c r="C64" s="91"/>
    </row>
    <row r="65" ht="15.75" customHeight="1">
      <c r="C65" s="91"/>
    </row>
    <row r="66" ht="15.75" customHeight="1">
      <c r="C66" s="91"/>
    </row>
    <row r="67" ht="15.75" customHeight="1">
      <c r="C67" s="91"/>
    </row>
    <row r="68" ht="15.75" customHeight="1">
      <c r="C68" s="91"/>
    </row>
    <row r="69" ht="15.75" customHeight="1">
      <c r="C69" s="91"/>
    </row>
    <row r="70" ht="15.75" customHeight="1">
      <c r="C70" s="91"/>
    </row>
    <row r="71" ht="15.75" customHeight="1">
      <c r="C71" s="91"/>
    </row>
    <row r="72" ht="15.75" customHeight="1">
      <c r="C72" s="91"/>
    </row>
    <row r="73" ht="15.75" customHeight="1">
      <c r="C73" s="91"/>
    </row>
    <row r="74" ht="15.75" customHeight="1">
      <c r="C74" s="91"/>
    </row>
    <row r="75" ht="15.75" customHeight="1">
      <c r="C75" s="91"/>
    </row>
    <row r="76" ht="15.75" customHeight="1">
      <c r="C76" s="91"/>
    </row>
    <row r="77" ht="15.75" customHeight="1">
      <c r="C77" s="91"/>
    </row>
    <row r="78" ht="15.75" customHeight="1">
      <c r="C78" s="91"/>
    </row>
    <row r="79" ht="15.75" customHeight="1">
      <c r="C79" s="91"/>
    </row>
    <row r="80" ht="15.75" customHeight="1">
      <c r="C80" s="91"/>
    </row>
    <row r="81" ht="15.75" customHeight="1">
      <c r="C81" s="91"/>
    </row>
    <row r="82" ht="15.75" customHeight="1">
      <c r="C82" s="91"/>
    </row>
    <row r="83" ht="15.75" customHeight="1">
      <c r="C83" s="91"/>
    </row>
    <row r="84" ht="15.75" customHeight="1">
      <c r="C84" s="91"/>
    </row>
    <row r="85" ht="15.75" customHeight="1">
      <c r="C85" s="91"/>
    </row>
    <row r="86" ht="15.75" customHeight="1">
      <c r="C86" s="91"/>
    </row>
    <row r="87" ht="15.75" customHeight="1">
      <c r="C87" s="91"/>
    </row>
    <row r="88" ht="15.75" customHeight="1">
      <c r="C88" s="91"/>
    </row>
    <row r="89" ht="15.75" customHeight="1">
      <c r="C89" s="91"/>
    </row>
    <row r="90" ht="15.75" customHeight="1">
      <c r="C90" s="91"/>
    </row>
    <row r="91" ht="15.75" customHeight="1">
      <c r="C91" s="91"/>
    </row>
    <row r="92" ht="15.75" customHeight="1">
      <c r="C92" s="91"/>
    </row>
    <row r="93" ht="15.75" customHeight="1">
      <c r="C93" s="91"/>
    </row>
    <row r="94" ht="15.75" customHeight="1">
      <c r="C94" s="91"/>
    </row>
    <row r="95" ht="15.75" customHeight="1">
      <c r="C95" s="91"/>
    </row>
    <row r="96" ht="15.75" customHeight="1">
      <c r="C96" s="91"/>
    </row>
    <row r="97" ht="15.75" customHeight="1">
      <c r="C97" s="91"/>
    </row>
    <row r="98" ht="15.75" customHeight="1">
      <c r="C98" s="91"/>
    </row>
    <row r="99" ht="15.75" customHeight="1">
      <c r="C99" s="91"/>
    </row>
    <row r="100" ht="15.75" customHeight="1">
      <c r="C100" s="91"/>
    </row>
    <row r="101" ht="15.75" customHeight="1">
      <c r="C101" s="91"/>
    </row>
    <row r="102" ht="15.75" customHeight="1">
      <c r="C102" s="91"/>
    </row>
    <row r="103" ht="15.75" customHeight="1">
      <c r="C103" s="91"/>
    </row>
    <row r="104" ht="15.75" customHeight="1">
      <c r="C104" s="91"/>
    </row>
    <row r="105" ht="15.75" customHeight="1">
      <c r="C105" s="91"/>
    </row>
    <row r="106" ht="15.75" customHeight="1">
      <c r="C106" s="91"/>
    </row>
    <row r="107" ht="15.75" customHeight="1">
      <c r="C107" s="91"/>
    </row>
    <row r="108" ht="15.75" customHeight="1">
      <c r="C108" s="91"/>
    </row>
    <row r="109" ht="15.75" customHeight="1">
      <c r="C109" s="91"/>
    </row>
    <row r="110" ht="15.75" customHeight="1">
      <c r="C110" s="91"/>
    </row>
    <row r="111" ht="15.75" customHeight="1">
      <c r="C111" s="91"/>
    </row>
    <row r="112" ht="15.75" customHeight="1">
      <c r="C112" s="91"/>
    </row>
    <row r="113" ht="15.75" customHeight="1">
      <c r="C113" s="91"/>
    </row>
    <row r="114" ht="15.75" customHeight="1">
      <c r="C114" s="91"/>
    </row>
    <row r="115" ht="15.75" customHeight="1">
      <c r="C115" s="91"/>
    </row>
    <row r="116" ht="15.75" customHeight="1">
      <c r="C116" s="91"/>
    </row>
    <row r="117" ht="15.75" customHeight="1">
      <c r="C117" s="91"/>
    </row>
    <row r="118" ht="15.75" customHeight="1">
      <c r="C118" s="91"/>
    </row>
    <row r="119" ht="15.75" customHeight="1">
      <c r="C119" s="91"/>
    </row>
    <row r="120" ht="15.75" customHeight="1">
      <c r="C120" s="91"/>
    </row>
    <row r="121" ht="15.75" customHeight="1">
      <c r="C121" s="91"/>
    </row>
    <row r="122" ht="15.75" customHeight="1">
      <c r="C122" s="91"/>
    </row>
    <row r="123" ht="15.75" customHeight="1">
      <c r="C123" s="91"/>
    </row>
    <row r="124" ht="15.75" customHeight="1">
      <c r="C124" s="91"/>
    </row>
    <row r="125" ht="15.75" customHeight="1">
      <c r="C125" s="91"/>
    </row>
    <row r="126" ht="15.75" customHeight="1">
      <c r="C126" s="91"/>
    </row>
    <row r="127" ht="15.75" customHeight="1">
      <c r="C127" s="91"/>
    </row>
    <row r="128" ht="15.75" customHeight="1">
      <c r="C128" s="91"/>
    </row>
    <row r="129" ht="15.75" customHeight="1">
      <c r="C129" s="91"/>
    </row>
    <row r="130" ht="15.75" customHeight="1">
      <c r="C130" s="91"/>
    </row>
    <row r="131" ht="15.75" customHeight="1">
      <c r="C131" s="91"/>
    </row>
    <row r="132" ht="15.75" customHeight="1">
      <c r="C132" s="91"/>
    </row>
    <row r="133" ht="15.75" customHeight="1">
      <c r="C133" s="91"/>
    </row>
    <row r="134" ht="15.75" customHeight="1">
      <c r="C134" s="91"/>
    </row>
    <row r="135" ht="15.75" customHeight="1">
      <c r="C135" s="91"/>
    </row>
    <row r="136" ht="15.75" customHeight="1">
      <c r="C136" s="91"/>
    </row>
    <row r="137" ht="15.75" customHeight="1">
      <c r="C137" s="91"/>
    </row>
    <row r="138" ht="15.75" customHeight="1">
      <c r="C138" s="91"/>
    </row>
    <row r="139" ht="15.75" customHeight="1">
      <c r="C139" s="91"/>
    </row>
    <row r="140" ht="15.75" customHeight="1">
      <c r="C140" s="91"/>
    </row>
    <row r="141" ht="15.75" customHeight="1">
      <c r="C141" s="91"/>
    </row>
    <row r="142" ht="15.75" customHeight="1">
      <c r="C142" s="91"/>
    </row>
    <row r="143" ht="15.75" customHeight="1">
      <c r="C143" s="91"/>
    </row>
    <row r="144" ht="15.75" customHeight="1">
      <c r="C144" s="91"/>
    </row>
    <row r="145" ht="15.75" customHeight="1">
      <c r="C145" s="91"/>
    </row>
    <row r="146" ht="15.75" customHeight="1">
      <c r="C146" s="91"/>
    </row>
    <row r="147" ht="15.75" customHeight="1">
      <c r="C147" s="91"/>
    </row>
    <row r="148" ht="15.75" customHeight="1">
      <c r="C148" s="91"/>
    </row>
    <row r="149" ht="15.75" customHeight="1">
      <c r="C149" s="91"/>
    </row>
    <row r="150" ht="15.75" customHeight="1">
      <c r="C150" s="91"/>
    </row>
    <row r="151" ht="15.75" customHeight="1">
      <c r="C151" s="91"/>
    </row>
    <row r="152" ht="15.75" customHeight="1">
      <c r="C152" s="91"/>
    </row>
    <row r="153" ht="15.75" customHeight="1">
      <c r="C153" s="91"/>
    </row>
    <row r="154" ht="15.75" customHeight="1">
      <c r="C154" s="91"/>
    </row>
    <row r="155" ht="15.75" customHeight="1">
      <c r="C155" s="91"/>
    </row>
    <row r="156" ht="15.75" customHeight="1">
      <c r="C156" s="91"/>
    </row>
    <row r="157" ht="15.75" customHeight="1">
      <c r="C157" s="91"/>
    </row>
    <row r="158" ht="15.75" customHeight="1">
      <c r="C158" s="91"/>
    </row>
    <row r="159" ht="15.75" customHeight="1">
      <c r="C159" s="91"/>
    </row>
    <row r="160" ht="15.75" customHeight="1">
      <c r="C160" s="91"/>
    </row>
    <row r="161" ht="15.75" customHeight="1">
      <c r="C161" s="91"/>
    </row>
    <row r="162" ht="15.75" customHeight="1">
      <c r="C162" s="91"/>
    </row>
    <row r="163" ht="15.75" customHeight="1">
      <c r="C163" s="91"/>
    </row>
    <row r="164" ht="15.75" customHeight="1">
      <c r="C164" s="91"/>
    </row>
    <row r="165" ht="15.75" customHeight="1">
      <c r="C165" s="91"/>
    </row>
    <row r="166" ht="15.75" customHeight="1">
      <c r="C166" s="91"/>
    </row>
    <row r="167" ht="15.75" customHeight="1">
      <c r="C167" s="91"/>
    </row>
    <row r="168" ht="15.75" customHeight="1">
      <c r="C168" s="91"/>
    </row>
    <row r="169" ht="15.75" customHeight="1">
      <c r="C169" s="91"/>
    </row>
    <row r="170" ht="15.75" customHeight="1">
      <c r="C170" s="91"/>
    </row>
    <row r="171" ht="15.75" customHeight="1">
      <c r="C171" s="91"/>
    </row>
    <row r="172" ht="15.75" customHeight="1">
      <c r="C172" s="91"/>
    </row>
    <row r="173" ht="15.75" customHeight="1">
      <c r="C173" s="91"/>
    </row>
    <row r="174" ht="15.75" customHeight="1">
      <c r="C174" s="91"/>
    </row>
    <row r="175" ht="15.75" customHeight="1">
      <c r="C175" s="91"/>
    </row>
    <row r="176" ht="15.75" customHeight="1">
      <c r="C176" s="91"/>
    </row>
    <row r="177" ht="15.75" customHeight="1">
      <c r="C177" s="91"/>
    </row>
    <row r="178" ht="15.75" customHeight="1">
      <c r="C178" s="91"/>
    </row>
    <row r="179" ht="15.75" customHeight="1">
      <c r="C179" s="91"/>
    </row>
    <row r="180" ht="15.75" customHeight="1">
      <c r="C180" s="91"/>
    </row>
    <row r="181" ht="15.75" customHeight="1">
      <c r="C181" s="91"/>
    </row>
    <row r="182" ht="15.75" customHeight="1">
      <c r="C182" s="91"/>
    </row>
    <row r="183" ht="15.75" customHeight="1">
      <c r="C183" s="91"/>
    </row>
    <row r="184" ht="15.75" customHeight="1">
      <c r="C184" s="91"/>
    </row>
    <row r="185" ht="15.75" customHeight="1">
      <c r="C185" s="91"/>
    </row>
    <row r="186" ht="15.75" customHeight="1">
      <c r="C186" s="91"/>
    </row>
    <row r="187" ht="15.75" customHeight="1">
      <c r="C187" s="91"/>
    </row>
    <row r="188" ht="15.75" customHeight="1">
      <c r="C188" s="91"/>
    </row>
    <row r="189" ht="15.75" customHeight="1">
      <c r="C189" s="91"/>
    </row>
    <row r="190" ht="15.75" customHeight="1">
      <c r="C190" s="91"/>
    </row>
    <row r="191" ht="15.75" customHeight="1">
      <c r="C191" s="91"/>
    </row>
    <row r="192" ht="15.75" customHeight="1">
      <c r="C192" s="91"/>
    </row>
    <row r="193" ht="15.75" customHeight="1">
      <c r="C193" s="91"/>
    </row>
    <row r="194" ht="15.75" customHeight="1">
      <c r="C194" s="91"/>
    </row>
    <row r="195" ht="15.75" customHeight="1">
      <c r="C195" s="91"/>
    </row>
    <row r="196" ht="15.75" customHeight="1">
      <c r="C196" s="91"/>
    </row>
    <row r="197" ht="15.75" customHeight="1">
      <c r="C197" s="91"/>
    </row>
    <row r="198" ht="15.75" customHeight="1">
      <c r="C198" s="91"/>
    </row>
    <row r="199" ht="15.75" customHeight="1">
      <c r="C199" s="91"/>
    </row>
    <row r="200" ht="15.75" customHeight="1">
      <c r="C200" s="91"/>
    </row>
    <row r="201" ht="15.75" customHeight="1">
      <c r="C201" s="91"/>
    </row>
    <row r="202" ht="15.75" customHeight="1">
      <c r="C202" s="91"/>
    </row>
    <row r="203" ht="15.75" customHeight="1">
      <c r="C203" s="91"/>
    </row>
    <row r="204" ht="15.75" customHeight="1">
      <c r="C204" s="91"/>
    </row>
    <row r="205" ht="15.75" customHeight="1">
      <c r="C205" s="91"/>
    </row>
    <row r="206" ht="15.75" customHeight="1">
      <c r="C206" s="91"/>
    </row>
    <row r="207" ht="15.75" customHeight="1">
      <c r="C207" s="91"/>
    </row>
    <row r="208" ht="15.75" customHeight="1">
      <c r="C208" s="91"/>
    </row>
    <row r="209" ht="15.75" customHeight="1">
      <c r="C209" s="91"/>
    </row>
    <row r="210" ht="15.75" customHeight="1">
      <c r="C210" s="91"/>
    </row>
    <row r="211" ht="15.75" customHeight="1">
      <c r="C211" s="91"/>
    </row>
    <row r="212" ht="15.75" customHeight="1">
      <c r="C212" s="91"/>
    </row>
    <row r="213" ht="15.75" customHeight="1">
      <c r="C213" s="91"/>
    </row>
    <row r="214" ht="15.75" customHeight="1">
      <c r="C214" s="91"/>
    </row>
    <row r="215" ht="15.75" customHeight="1">
      <c r="C215" s="91"/>
    </row>
    <row r="216" ht="15.75" customHeight="1">
      <c r="C216" s="91"/>
    </row>
    <row r="217" ht="15.75" customHeight="1">
      <c r="C217" s="91"/>
    </row>
    <row r="218" ht="15.75" customHeight="1">
      <c r="C218" s="91"/>
    </row>
    <row r="219" ht="15.75" customHeight="1">
      <c r="C219" s="91"/>
    </row>
    <row r="220" ht="15.75" customHeight="1">
      <c r="C220" s="91"/>
    </row>
    <row r="221" ht="15.75" customHeight="1">
      <c r="C221" s="91"/>
    </row>
    <row r="222" ht="15.75" customHeight="1">
      <c r="C222" s="91"/>
    </row>
    <row r="223" ht="15.75" customHeight="1">
      <c r="C223" s="91"/>
    </row>
    <row r="224" ht="15.75" customHeight="1">
      <c r="C224" s="91"/>
    </row>
    <row r="225" ht="15.75" customHeight="1">
      <c r="C225" s="91"/>
    </row>
    <row r="226" ht="15.75" customHeight="1">
      <c r="C226" s="91"/>
    </row>
    <row r="227" ht="15.75" customHeight="1">
      <c r="C227" s="91"/>
    </row>
    <row r="228" ht="15.75" customHeight="1">
      <c r="C228" s="91"/>
    </row>
    <row r="229" ht="15.75" customHeight="1">
      <c r="C229" s="91"/>
    </row>
    <row r="230" ht="15.75" customHeight="1">
      <c r="C230" s="91"/>
    </row>
    <row r="231" ht="15.75" customHeight="1">
      <c r="C231" s="91"/>
    </row>
    <row r="232" ht="15.75" customHeight="1">
      <c r="C232" s="91"/>
    </row>
    <row r="233" ht="15.75" customHeight="1">
      <c r="C233" s="91"/>
    </row>
    <row r="234" ht="15.75" customHeight="1">
      <c r="C234" s="91"/>
    </row>
    <row r="235" ht="15.75" customHeight="1">
      <c r="C235" s="91"/>
    </row>
    <row r="236" ht="15.75" customHeight="1">
      <c r="C236" s="91"/>
    </row>
    <row r="237" ht="15.75" customHeight="1">
      <c r="C237" s="91"/>
    </row>
    <row r="238" ht="15.75" customHeight="1">
      <c r="C238" s="91"/>
    </row>
    <row r="239" ht="15.75" customHeight="1">
      <c r="C239" s="91"/>
    </row>
    <row r="240" ht="15.75" customHeight="1">
      <c r="C240" s="91"/>
    </row>
    <row r="241" ht="15.75" customHeight="1">
      <c r="C241" s="91"/>
    </row>
    <row r="242" ht="15.75" customHeight="1">
      <c r="C242" s="91"/>
    </row>
    <row r="243" ht="15.75" customHeight="1">
      <c r="C243" s="91"/>
    </row>
    <row r="244" ht="15.75" customHeight="1">
      <c r="C244" s="91"/>
    </row>
    <row r="245" ht="15.75" customHeight="1">
      <c r="C245" s="91"/>
    </row>
    <row r="246" ht="15.75" customHeight="1">
      <c r="C246" s="91"/>
    </row>
    <row r="247" ht="15.75" customHeight="1">
      <c r="C247" s="91"/>
    </row>
    <row r="248" ht="15.75" customHeight="1">
      <c r="C248" s="91"/>
    </row>
    <row r="249" ht="15.75" customHeight="1">
      <c r="C249" s="91"/>
    </row>
    <row r="250" ht="15.75" customHeight="1">
      <c r="C250" s="91"/>
    </row>
    <row r="251" ht="15.75" customHeight="1">
      <c r="C251" s="91"/>
    </row>
    <row r="252" ht="15.75" customHeight="1">
      <c r="C252" s="91"/>
    </row>
    <row r="253" ht="15.75" customHeight="1">
      <c r="C253" s="91"/>
    </row>
    <row r="254" ht="15.75" customHeight="1">
      <c r="C254" s="91"/>
    </row>
    <row r="255" ht="15.75" customHeight="1">
      <c r="C255" s="91"/>
    </row>
    <row r="256" ht="15.75" customHeight="1">
      <c r="C256" s="91"/>
    </row>
    <row r="257" ht="15.75" customHeight="1">
      <c r="C257" s="91"/>
    </row>
    <row r="258" ht="15.75" customHeight="1">
      <c r="C258" s="91"/>
    </row>
    <row r="259" ht="15.75" customHeight="1">
      <c r="C259" s="91"/>
    </row>
    <row r="260" ht="15.75" customHeight="1">
      <c r="C260" s="91"/>
    </row>
    <row r="261" ht="15.75" customHeight="1">
      <c r="C261" s="91"/>
    </row>
    <row r="262" ht="15.75" customHeight="1">
      <c r="C262" s="91"/>
    </row>
    <row r="263" ht="15.75" customHeight="1">
      <c r="C263" s="91"/>
    </row>
    <row r="264" ht="15.75" customHeight="1">
      <c r="C264" s="91"/>
    </row>
    <row r="265" ht="15.75" customHeight="1">
      <c r="C265" s="91"/>
    </row>
    <row r="266" ht="15.75" customHeight="1">
      <c r="C266" s="91"/>
    </row>
    <row r="267" ht="15.75" customHeight="1">
      <c r="C267" s="91"/>
    </row>
    <row r="268" ht="15.75" customHeight="1">
      <c r="C268" s="91"/>
    </row>
    <row r="269" ht="15.75" customHeight="1">
      <c r="C269" s="91"/>
    </row>
    <row r="270" ht="15.75" customHeight="1">
      <c r="C270" s="91"/>
    </row>
    <row r="271" ht="15.75" customHeight="1">
      <c r="C271" s="91"/>
    </row>
    <row r="272" ht="15.75" customHeight="1">
      <c r="C272" s="91"/>
    </row>
    <row r="273" ht="15.75" customHeight="1">
      <c r="C273" s="91"/>
    </row>
    <row r="274" ht="15.75" customHeight="1">
      <c r="C274" s="91"/>
    </row>
    <row r="275" ht="15.75" customHeight="1">
      <c r="C275" s="91"/>
    </row>
    <row r="276" ht="15.75" customHeight="1">
      <c r="C276" s="91"/>
    </row>
    <row r="277" ht="15.75" customHeight="1">
      <c r="C277" s="91"/>
    </row>
    <row r="278" ht="15.75" customHeight="1">
      <c r="C278" s="91"/>
    </row>
    <row r="279" ht="15.75" customHeight="1">
      <c r="C279" s="91"/>
    </row>
    <row r="280" ht="15.75" customHeight="1">
      <c r="C280" s="91"/>
    </row>
    <row r="281" ht="15.75" customHeight="1">
      <c r="C281" s="91"/>
    </row>
    <row r="282" ht="15.75" customHeight="1">
      <c r="C282" s="91"/>
    </row>
    <row r="283" ht="15.75" customHeight="1">
      <c r="C283" s="91"/>
    </row>
    <row r="284" ht="15.75" customHeight="1">
      <c r="C284" s="91"/>
    </row>
    <row r="285" ht="15.75" customHeight="1">
      <c r="C285" s="91"/>
    </row>
    <row r="286" ht="15.75" customHeight="1">
      <c r="C286" s="91"/>
    </row>
    <row r="287" ht="15.75" customHeight="1">
      <c r="C287" s="91"/>
    </row>
    <row r="288" ht="15.75" customHeight="1">
      <c r="C288" s="91"/>
    </row>
    <row r="289" ht="15.75" customHeight="1">
      <c r="C289" s="91"/>
    </row>
    <row r="290" ht="15.75" customHeight="1">
      <c r="C290" s="91"/>
    </row>
    <row r="291" ht="15.75" customHeight="1">
      <c r="C291" s="91"/>
    </row>
    <row r="292" ht="15.75" customHeight="1">
      <c r="C292" s="91"/>
    </row>
    <row r="293" ht="15.75" customHeight="1">
      <c r="C293" s="91"/>
    </row>
    <row r="294" ht="15.75" customHeight="1">
      <c r="C294" s="91"/>
    </row>
    <row r="295" ht="15.75" customHeight="1">
      <c r="C295" s="91"/>
    </row>
    <row r="296" ht="15.75" customHeight="1">
      <c r="C296" s="91"/>
    </row>
    <row r="297" ht="15.75" customHeight="1">
      <c r="C297" s="91"/>
    </row>
    <row r="298" ht="15.75" customHeight="1">
      <c r="C298" s="91"/>
    </row>
    <row r="299" ht="15.75" customHeight="1">
      <c r="C299" s="91"/>
    </row>
    <row r="300" ht="15.75" customHeight="1">
      <c r="C300" s="91"/>
    </row>
    <row r="301" ht="15.75" customHeight="1">
      <c r="C301" s="91"/>
    </row>
    <row r="302" ht="15.75" customHeight="1">
      <c r="C302" s="91"/>
    </row>
    <row r="303" ht="15.75" customHeight="1">
      <c r="C303" s="91"/>
    </row>
    <row r="304" ht="15.75" customHeight="1">
      <c r="C304" s="91"/>
    </row>
    <row r="305" ht="15.75" customHeight="1">
      <c r="C305" s="91"/>
    </row>
    <row r="306" ht="15.75" customHeight="1">
      <c r="C306" s="91"/>
    </row>
    <row r="307" ht="15.75" customHeight="1">
      <c r="C307" s="91"/>
    </row>
    <row r="308" ht="15.75" customHeight="1">
      <c r="C308" s="91"/>
    </row>
    <row r="309" ht="15.75" customHeight="1">
      <c r="C309" s="91"/>
    </row>
    <row r="310" ht="15.75" customHeight="1">
      <c r="C310" s="91"/>
    </row>
    <row r="311" ht="15.75" customHeight="1">
      <c r="C311" s="91"/>
    </row>
    <row r="312" ht="15.75" customHeight="1">
      <c r="C312" s="91"/>
    </row>
    <row r="313" ht="15.75" customHeight="1">
      <c r="C313" s="91"/>
    </row>
    <row r="314" ht="15.75" customHeight="1">
      <c r="C314" s="91"/>
    </row>
    <row r="315" ht="15.75" customHeight="1">
      <c r="C315" s="91"/>
    </row>
    <row r="316" ht="15.75" customHeight="1">
      <c r="C316" s="91"/>
    </row>
    <row r="317" ht="15.75" customHeight="1">
      <c r="C317" s="91"/>
    </row>
    <row r="318" ht="15.75" customHeight="1">
      <c r="C318" s="91"/>
    </row>
    <row r="319" ht="15.75" customHeight="1">
      <c r="C319" s="91"/>
    </row>
    <row r="320" ht="15.75" customHeight="1">
      <c r="C320" s="91"/>
    </row>
    <row r="321" ht="15.75" customHeight="1">
      <c r="C321" s="91"/>
    </row>
    <row r="322" ht="15.75" customHeight="1">
      <c r="C322" s="91"/>
    </row>
    <row r="323" ht="15.75" customHeight="1">
      <c r="C323" s="91"/>
    </row>
    <row r="324" ht="15.75" customHeight="1">
      <c r="C324" s="91"/>
    </row>
    <row r="325" ht="15.75" customHeight="1">
      <c r="C325" s="91"/>
    </row>
    <row r="326" ht="15.75" customHeight="1">
      <c r="C326" s="91"/>
    </row>
    <row r="327" ht="15.75" customHeight="1">
      <c r="C327" s="91"/>
    </row>
    <row r="328" ht="15.75" customHeight="1">
      <c r="C328" s="91"/>
    </row>
    <row r="329" ht="15.75" customHeight="1">
      <c r="C329" s="91"/>
    </row>
    <row r="330" ht="15.75" customHeight="1">
      <c r="C330" s="91"/>
    </row>
    <row r="331" ht="15.75" customHeight="1">
      <c r="C331" s="91"/>
    </row>
    <row r="332" ht="15.75" customHeight="1">
      <c r="C332" s="91"/>
    </row>
    <row r="333" ht="15.75" customHeight="1">
      <c r="C333" s="91"/>
    </row>
    <row r="334" ht="15.75" customHeight="1">
      <c r="C334" s="91"/>
    </row>
    <row r="335" ht="15.75" customHeight="1">
      <c r="C335" s="91"/>
    </row>
    <row r="336" ht="15.75" customHeight="1">
      <c r="C336" s="91"/>
    </row>
    <row r="337" ht="15.75" customHeight="1">
      <c r="C337" s="91"/>
    </row>
    <row r="338" ht="15.75" customHeight="1">
      <c r="C338" s="91"/>
    </row>
    <row r="339" ht="15.75" customHeight="1">
      <c r="C339" s="91"/>
    </row>
    <row r="340" ht="15.75" customHeight="1">
      <c r="C340" s="91"/>
    </row>
    <row r="341" ht="15.75" customHeight="1">
      <c r="C341" s="91"/>
    </row>
    <row r="342" ht="15.75" customHeight="1">
      <c r="C342" s="91"/>
    </row>
    <row r="343" ht="15.75" customHeight="1">
      <c r="C343" s="91"/>
    </row>
    <row r="344" ht="15.75" customHeight="1">
      <c r="C344" s="91"/>
    </row>
    <row r="345" ht="15.75" customHeight="1">
      <c r="C345" s="91"/>
    </row>
    <row r="346" ht="15.75" customHeight="1">
      <c r="C346" s="91"/>
    </row>
    <row r="347" ht="15.75" customHeight="1">
      <c r="C347" s="91"/>
    </row>
    <row r="348" ht="15.75" customHeight="1">
      <c r="C348" s="91"/>
    </row>
    <row r="349" ht="15.75" customHeight="1">
      <c r="C349" s="91"/>
    </row>
    <row r="350" ht="15.75" customHeight="1">
      <c r="C350" s="91"/>
    </row>
    <row r="351" ht="15.75" customHeight="1">
      <c r="C351" s="91"/>
    </row>
    <row r="352" ht="15.75" customHeight="1">
      <c r="C352" s="91"/>
    </row>
    <row r="353" ht="15.75" customHeight="1">
      <c r="C353" s="91"/>
    </row>
    <row r="354" ht="15.75" customHeight="1">
      <c r="C354" s="91"/>
    </row>
    <row r="355" ht="15.75" customHeight="1">
      <c r="C355" s="91"/>
    </row>
    <row r="356" ht="15.75" customHeight="1">
      <c r="C356" s="91"/>
    </row>
    <row r="357" ht="15.75" customHeight="1">
      <c r="C357" s="91"/>
    </row>
    <row r="358" ht="15.75" customHeight="1">
      <c r="C358" s="91"/>
    </row>
    <row r="359" ht="15.75" customHeight="1">
      <c r="C359" s="91"/>
    </row>
    <row r="360" ht="15.75" customHeight="1">
      <c r="C360" s="91"/>
    </row>
    <row r="361" ht="15.75" customHeight="1">
      <c r="C361" s="91"/>
    </row>
    <row r="362" ht="15.75" customHeight="1">
      <c r="C362" s="91"/>
    </row>
    <row r="363" ht="15.75" customHeight="1">
      <c r="C363" s="91"/>
    </row>
    <row r="364" ht="15.75" customHeight="1">
      <c r="C364" s="91"/>
    </row>
    <row r="365" ht="15.75" customHeight="1">
      <c r="C365" s="91"/>
    </row>
    <row r="366" ht="15.75" customHeight="1">
      <c r="C366" s="91"/>
    </row>
    <row r="367" ht="15.75" customHeight="1">
      <c r="C367" s="91"/>
    </row>
    <row r="368" ht="15.75" customHeight="1">
      <c r="C368" s="91"/>
    </row>
    <row r="369" ht="15.75" customHeight="1">
      <c r="C369" s="91"/>
    </row>
    <row r="370" ht="15.75" customHeight="1">
      <c r="C370" s="91"/>
    </row>
    <row r="371" ht="15.75" customHeight="1">
      <c r="C371" s="91"/>
    </row>
    <row r="372" ht="15.75" customHeight="1">
      <c r="C372" s="91"/>
    </row>
    <row r="373" ht="15.75" customHeight="1">
      <c r="C373" s="91"/>
    </row>
    <row r="374" ht="15.75" customHeight="1">
      <c r="C374" s="91"/>
    </row>
    <row r="375" ht="15.75" customHeight="1">
      <c r="C375" s="91"/>
    </row>
    <row r="376" ht="15.75" customHeight="1">
      <c r="C376" s="91"/>
    </row>
    <row r="377" ht="15.75" customHeight="1">
      <c r="C377" s="91"/>
    </row>
    <row r="378" ht="15.75" customHeight="1">
      <c r="C378" s="91"/>
    </row>
    <row r="379" ht="15.75" customHeight="1">
      <c r="C379" s="91"/>
    </row>
    <row r="380" ht="15.75" customHeight="1">
      <c r="C380" s="91"/>
    </row>
    <row r="381" ht="15.75" customHeight="1">
      <c r="C381" s="91"/>
    </row>
    <row r="382" ht="15.75" customHeight="1">
      <c r="C382" s="91"/>
    </row>
    <row r="383" ht="15.75" customHeight="1">
      <c r="C383" s="91"/>
    </row>
    <row r="384" ht="15.75" customHeight="1">
      <c r="C384" s="91"/>
    </row>
    <row r="385" ht="15.75" customHeight="1">
      <c r="C385" s="91"/>
    </row>
    <row r="386" ht="15.75" customHeight="1">
      <c r="C386" s="91"/>
    </row>
    <row r="387" ht="15.75" customHeight="1">
      <c r="C387" s="91"/>
    </row>
    <row r="388" ht="15.75" customHeight="1">
      <c r="C388" s="91"/>
    </row>
    <row r="389" ht="15.75" customHeight="1">
      <c r="C389" s="91"/>
    </row>
    <row r="390" ht="15.75" customHeight="1">
      <c r="C390" s="91"/>
    </row>
    <row r="391" ht="15.75" customHeight="1">
      <c r="C391" s="91"/>
    </row>
    <row r="392" ht="15.75" customHeight="1">
      <c r="C392" s="91"/>
    </row>
    <row r="393" ht="15.75" customHeight="1">
      <c r="C393" s="91"/>
    </row>
    <row r="394" ht="15.75" customHeight="1">
      <c r="C394" s="91"/>
    </row>
    <row r="395" ht="15.75" customHeight="1">
      <c r="C395" s="91"/>
    </row>
    <row r="396" ht="15.75" customHeight="1">
      <c r="C396" s="91"/>
    </row>
    <row r="397" ht="15.75" customHeight="1">
      <c r="C397" s="91"/>
    </row>
    <row r="398" ht="15.75" customHeight="1">
      <c r="C398" s="91"/>
    </row>
    <row r="399" ht="15.75" customHeight="1">
      <c r="C399" s="91"/>
    </row>
    <row r="400" ht="15.75" customHeight="1">
      <c r="C400" s="91"/>
    </row>
    <row r="401" ht="15.75" customHeight="1">
      <c r="C401" s="91"/>
    </row>
    <row r="402" ht="15.75" customHeight="1">
      <c r="C402" s="91"/>
    </row>
    <row r="403" ht="15.75" customHeight="1">
      <c r="C403" s="91"/>
    </row>
    <row r="404" ht="15.75" customHeight="1">
      <c r="C404" s="91"/>
    </row>
    <row r="405" ht="15.75" customHeight="1">
      <c r="C405" s="91"/>
    </row>
    <row r="406" ht="15.75" customHeight="1">
      <c r="C406" s="91"/>
    </row>
    <row r="407" ht="15.75" customHeight="1">
      <c r="C407" s="91"/>
    </row>
    <row r="408" ht="15.75" customHeight="1">
      <c r="C408" s="91"/>
    </row>
    <row r="409" ht="15.75" customHeight="1">
      <c r="C409" s="91"/>
    </row>
    <row r="410" ht="15.75" customHeight="1">
      <c r="C410" s="91"/>
    </row>
    <row r="411" ht="15.75" customHeight="1">
      <c r="C411" s="91"/>
    </row>
    <row r="412" ht="15.75" customHeight="1">
      <c r="C412" s="91"/>
    </row>
    <row r="413" ht="15.75" customHeight="1">
      <c r="C413" s="91"/>
    </row>
    <row r="414" ht="15.75" customHeight="1">
      <c r="C414" s="91"/>
    </row>
    <row r="415" ht="15.75" customHeight="1">
      <c r="C415" s="91"/>
    </row>
    <row r="416" ht="15.75" customHeight="1">
      <c r="C416" s="91"/>
    </row>
    <row r="417" ht="15.75" customHeight="1">
      <c r="C417" s="91"/>
    </row>
    <row r="418" ht="15.75" customHeight="1">
      <c r="C418" s="91"/>
    </row>
    <row r="419" ht="15.75" customHeight="1">
      <c r="C419" s="91"/>
    </row>
    <row r="420" ht="15.75" customHeight="1">
      <c r="C420" s="91"/>
    </row>
    <row r="421" ht="15.75" customHeight="1">
      <c r="C421" s="91"/>
    </row>
    <row r="422" ht="15.75" customHeight="1">
      <c r="C422" s="91"/>
    </row>
    <row r="423" ht="15.75" customHeight="1">
      <c r="C423" s="91"/>
    </row>
    <row r="424" ht="15.75" customHeight="1">
      <c r="C424" s="91"/>
    </row>
    <row r="425" ht="15.75" customHeight="1">
      <c r="C425" s="91"/>
    </row>
    <row r="426" ht="15.75" customHeight="1">
      <c r="C426" s="91"/>
    </row>
    <row r="427" ht="15.75" customHeight="1">
      <c r="C427" s="91"/>
    </row>
    <row r="428" ht="15.75" customHeight="1">
      <c r="C428" s="91"/>
    </row>
    <row r="429" ht="15.75" customHeight="1">
      <c r="C429" s="91"/>
    </row>
    <row r="430" ht="15.75" customHeight="1">
      <c r="C430" s="91"/>
    </row>
    <row r="431" ht="15.75" customHeight="1">
      <c r="C431" s="91"/>
    </row>
    <row r="432" ht="15.75" customHeight="1">
      <c r="C432" s="91"/>
    </row>
    <row r="433" ht="15.75" customHeight="1">
      <c r="C433" s="91"/>
    </row>
    <row r="434" ht="15.75" customHeight="1">
      <c r="C434" s="91"/>
    </row>
    <row r="435" ht="15.75" customHeight="1">
      <c r="C435" s="91"/>
    </row>
    <row r="436" ht="15.75" customHeight="1">
      <c r="C436" s="91"/>
    </row>
    <row r="437" ht="15.75" customHeight="1">
      <c r="C437" s="91"/>
    </row>
    <row r="438" ht="15.75" customHeight="1">
      <c r="C438" s="91"/>
    </row>
    <row r="439" ht="15.75" customHeight="1">
      <c r="C439" s="91"/>
    </row>
    <row r="440" ht="15.75" customHeight="1">
      <c r="C440" s="91"/>
    </row>
    <row r="441" ht="15.75" customHeight="1">
      <c r="C441" s="91"/>
    </row>
    <row r="442" ht="15.75" customHeight="1">
      <c r="C442" s="91"/>
    </row>
    <row r="443" ht="15.75" customHeight="1">
      <c r="C443" s="91"/>
    </row>
    <row r="444" ht="15.75" customHeight="1">
      <c r="C444" s="91"/>
    </row>
    <row r="445" ht="15.75" customHeight="1">
      <c r="C445" s="91"/>
    </row>
    <row r="446" ht="15.75" customHeight="1">
      <c r="C446" s="91"/>
    </row>
    <row r="447" ht="15.75" customHeight="1">
      <c r="C447" s="91"/>
    </row>
    <row r="448" ht="15.75" customHeight="1">
      <c r="C448" s="91"/>
    </row>
    <row r="449" ht="15.75" customHeight="1">
      <c r="C449" s="91"/>
    </row>
    <row r="450" ht="15.75" customHeight="1">
      <c r="C450" s="91"/>
    </row>
    <row r="451" ht="15.75" customHeight="1">
      <c r="C451" s="91"/>
    </row>
    <row r="452" ht="15.75" customHeight="1">
      <c r="C452" s="91"/>
    </row>
    <row r="453" ht="15.75" customHeight="1">
      <c r="C453" s="91"/>
    </row>
    <row r="454" ht="15.75" customHeight="1">
      <c r="C454" s="91"/>
    </row>
    <row r="455" ht="15.75" customHeight="1">
      <c r="C455" s="91"/>
    </row>
    <row r="456" ht="15.75" customHeight="1">
      <c r="C456" s="91"/>
    </row>
    <row r="457" ht="15.75" customHeight="1">
      <c r="C457" s="91"/>
    </row>
    <row r="458" ht="15.75" customHeight="1">
      <c r="C458" s="91"/>
    </row>
    <row r="459" ht="15.75" customHeight="1">
      <c r="C459" s="91"/>
    </row>
    <row r="460" ht="15.75" customHeight="1">
      <c r="C460" s="91"/>
    </row>
    <row r="461" ht="15.75" customHeight="1">
      <c r="C461" s="91"/>
    </row>
    <row r="462" ht="15.75" customHeight="1">
      <c r="C462" s="91"/>
    </row>
    <row r="463" ht="15.75" customHeight="1">
      <c r="C463" s="91"/>
    </row>
    <row r="464" ht="15.75" customHeight="1">
      <c r="C464" s="91"/>
    </row>
    <row r="465" ht="15.75" customHeight="1">
      <c r="C465" s="91"/>
    </row>
    <row r="466" ht="15.75" customHeight="1">
      <c r="C466" s="91"/>
    </row>
    <row r="467" ht="15.75" customHeight="1">
      <c r="C467" s="91"/>
    </row>
    <row r="468" ht="15.75" customHeight="1">
      <c r="C468" s="91"/>
    </row>
    <row r="469" ht="15.75" customHeight="1">
      <c r="C469" s="91"/>
    </row>
    <row r="470" ht="15.75" customHeight="1">
      <c r="C470" s="91"/>
    </row>
    <row r="471" ht="15.75" customHeight="1">
      <c r="C471" s="91"/>
    </row>
    <row r="472" ht="15.75" customHeight="1">
      <c r="C472" s="91"/>
    </row>
    <row r="473" ht="15.75" customHeight="1">
      <c r="C473" s="91"/>
    </row>
    <row r="474" ht="15.75" customHeight="1">
      <c r="C474" s="91"/>
    </row>
    <row r="475" ht="15.75" customHeight="1">
      <c r="C475" s="91"/>
    </row>
    <row r="476" ht="15.75" customHeight="1">
      <c r="C476" s="91"/>
    </row>
    <row r="477" ht="15.75" customHeight="1">
      <c r="C477" s="91"/>
    </row>
    <row r="478" ht="15.75" customHeight="1">
      <c r="C478" s="91"/>
    </row>
    <row r="479" ht="15.75" customHeight="1">
      <c r="C479" s="91"/>
    </row>
    <row r="480" ht="15.75" customHeight="1">
      <c r="C480" s="91"/>
    </row>
    <row r="481" ht="15.75" customHeight="1">
      <c r="C481" s="91"/>
    </row>
    <row r="482" ht="15.75" customHeight="1">
      <c r="C482" s="91"/>
    </row>
    <row r="483" ht="15.75" customHeight="1">
      <c r="C483" s="91"/>
    </row>
    <row r="484" ht="15.75" customHeight="1">
      <c r="C484" s="91"/>
    </row>
    <row r="485" ht="15.75" customHeight="1">
      <c r="C485" s="91"/>
    </row>
    <row r="486" ht="15.75" customHeight="1">
      <c r="C486" s="91"/>
    </row>
    <row r="487" ht="15.75" customHeight="1">
      <c r="C487" s="91"/>
    </row>
    <row r="488" ht="15.75" customHeight="1">
      <c r="C488" s="91"/>
    </row>
    <row r="489" ht="15.75" customHeight="1">
      <c r="C489" s="91"/>
    </row>
    <row r="490" ht="15.75" customHeight="1">
      <c r="C490" s="91"/>
    </row>
    <row r="491" ht="15.75" customHeight="1">
      <c r="C491" s="91"/>
    </row>
    <row r="492" ht="15.75" customHeight="1">
      <c r="C492" s="91"/>
    </row>
    <row r="493" ht="15.75" customHeight="1">
      <c r="C493" s="91"/>
    </row>
    <row r="494" ht="15.75" customHeight="1">
      <c r="C494" s="91"/>
    </row>
    <row r="495" ht="15.75" customHeight="1">
      <c r="C495" s="91"/>
    </row>
    <row r="496" ht="15.75" customHeight="1">
      <c r="C496" s="91"/>
    </row>
    <row r="497" ht="15.75" customHeight="1">
      <c r="C497" s="91"/>
    </row>
    <row r="498" ht="15.75" customHeight="1">
      <c r="C498" s="91"/>
    </row>
    <row r="499" ht="15.75" customHeight="1">
      <c r="C499" s="91"/>
    </row>
    <row r="500" ht="15.75" customHeight="1">
      <c r="C500" s="91"/>
    </row>
    <row r="501" ht="15.75" customHeight="1">
      <c r="C501" s="91"/>
    </row>
    <row r="502" ht="15.75" customHeight="1">
      <c r="C502" s="91"/>
    </row>
    <row r="503" ht="15.75" customHeight="1">
      <c r="C503" s="91"/>
    </row>
    <row r="504" ht="15.75" customHeight="1">
      <c r="C504" s="91"/>
    </row>
    <row r="505" ht="15.75" customHeight="1">
      <c r="C505" s="91"/>
    </row>
    <row r="506" ht="15.75" customHeight="1">
      <c r="C506" s="91"/>
    </row>
    <row r="507" ht="15.75" customHeight="1">
      <c r="C507" s="91"/>
    </row>
    <row r="508" ht="15.75" customHeight="1">
      <c r="C508" s="91"/>
    </row>
    <row r="509" ht="15.75" customHeight="1">
      <c r="C509" s="91"/>
    </row>
    <row r="510" ht="15.75" customHeight="1">
      <c r="C510" s="91"/>
    </row>
    <row r="511" ht="15.75" customHeight="1">
      <c r="C511" s="91"/>
    </row>
    <row r="512" ht="15.75" customHeight="1">
      <c r="C512" s="91"/>
    </row>
    <row r="513" ht="15.75" customHeight="1">
      <c r="C513" s="91"/>
    </row>
    <row r="514" ht="15.75" customHeight="1">
      <c r="C514" s="91"/>
    </row>
    <row r="515" ht="15.75" customHeight="1">
      <c r="C515" s="91"/>
    </row>
    <row r="516" ht="15.75" customHeight="1">
      <c r="C516" s="91"/>
    </row>
    <row r="517" ht="15.75" customHeight="1">
      <c r="C517" s="91"/>
    </row>
    <row r="518" ht="15.75" customHeight="1">
      <c r="C518" s="91"/>
    </row>
    <row r="519" ht="15.75" customHeight="1">
      <c r="C519" s="91"/>
    </row>
    <row r="520" ht="15.75" customHeight="1">
      <c r="C520" s="91"/>
    </row>
    <row r="521" ht="15.75" customHeight="1">
      <c r="C521" s="91"/>
    </row>
    <row r="522" ht="15.75" customHeight="1">
      <c r="C522" s="91"/>
    </row>
    <row r="523" ht="15.75" customHeight="1">
      <c r="C523" s="91"/>
    </row>
    <row r="524" ht="15.75" customHeight="1">
      <c r="C524" s="91"/>
    </row>
    <row r="525" ht="15.75" customHeight="1">
      <c r="C525" s="91"/>
    </row>
    <row r="526" ht="15.75" customHeight="1">
      <c r="C526" s="91"/>
    </row>
    <row r="527" ht="15.75" customHeight="1">
      <c r="C527" s="91"/>
    </row>
    <row r="528" ht="15.75" customHeight="1">
      <c r="C528" s="91"/>
    </row>
    <row r="529" ht="15.75" customHeight="1">
      <c r="C529" s="91"/>
    </row>
    <row r="530" ht="15.75" customHeight="1">
      <c r="C530" s="91"/>
    </row>
    <row r="531" ht="15.75" customHeight="1">
      <c r="C531" s="91"/>
    </row>
    <row r="532" ht="15.75" customHeight="1">
      <c r="C532" s="91"/>
    </row>
    <row r="533" ht="15.75" customHeight="1">
      <c r="C533" s="91"/>
    </row>
    <row r="534" ht="15.75" customHeight="1">
      <c r="C534" s="91"/>
    </row>
    <row r="535" ht="15.75" customHeight="1">
      <c r="C535" s="91"/>
    </row>
    <row r="536" ht="15.75" customHeight="1">
      <c r="C536" s="91"/>
    </row>
    <row r="537" ht="15.75" customHeight="1">
      <c r="C537" s="91"/>
    </row>
    <row r="538" ht="15.75" customHeight="1">
      <c r="C538" s="91"/>
    </row>
    <row r="539" ht="15.75" customHeight="1">
      <c r="C539" s="91"/>
    </row>
    <row r="540" ht="15.75" customHeight="1">
      <c r="C540" s="91"/>
    </row>
    <row r="541" ht="15.75" customHeight="1">
      <c r="C541" s="91"/>
    </row>
    <row r="542" ht="15.75" customHeight="1">
      <c r="C542" s="91"/>
    </row>
    <row r="543" ht="15.75" customHeight="1">
      <c r="C543" s="91"/>
    </row>
    <row r="544" ht="15.75" customHeight="1">
      <c r="C544" s="91"/>
    </row>
    <row r="545" ht="15.75" customHeight="1">
      <c r="C545" s="91"/>
    </row>
    <row r="546" ht="15.75" customHeight="1">
      <c r="C546" s="91"/>
    </row>
    <row r="547" ht="15.75" customHeight="1">
      <c r="C547" s="91"/>
    </row>
    <row r="548" ht="15.75" customHeight="1">
      <c r="C548" s="91"/>
    </row>
    <row r="549" ht="15.75" customHeight="1">
      <c r="C549" s="91"/>
    </row>
    <row r="550" ht="15.75" customHeight="1">
      <c r="C550" s="91"/>
    </row>
    <row r="551" ht="15.75" customHeight="1">
      <c r="C551" s="91"/>
    </row>
    <row r="552" ht="15.75" customHeight="1">
      <c r="C552" s="91"/>
    </row>
    <row r="553" ht="15.75" customHeight="1">
      <c r="C553" s="91"/>
    </row>
    <row r="554" ht="15.75" customHeight="1">
      <c r="C554" s="91"/>
    </row>
    <row r="555" ht="15.75" customHeight="1">
      <c r="C555" s="91"/>
    </row>
    <row r="556" ht="15.75" customHeight="1">
      <c r="C556" s="91"/>
    </row>
    <row r="557" ht="15.75" customHeight="1">
      <c r="C557" s="91"/>
    </row>
    <row r="558" ht="15.75" customHeight="1">
      <c r="C558" s="91"/>
    </row>
    <row r="559" ht="15.75" customHeight="1">
      <c r="C559" s="91"/>
    </row>
    <row r="560" ht="15.75" customHeight="1">
      <c r="C560" s="91"/>
    </row>
    <row r="561" ht="15.75" customHeight="1">
      <c r="C561" s="91"/>
    </row>
    <row r="562" ht="15.75" customHeight="1">
      <c r="C562" s="91"/>
    </row>
    <row r="563" ht="15.75" customHeight="1">
      <c r="C563" s="91"/>
    </row>
    <row r="564" ht="15.75" customHeight="1">
      <c r="C564" s="91"/>
    </row>
    <row r="565" ht="15.75" customHeight="1">
      <c r="C565" s="91"/>
    </row>
    <row r="566" ht="15.75" customHeight="1">
      <c r="C566" s="91"/>
    </row>
    <row r="567" ht="15.75" customHeight="1">
      <c r="C567" s="91"/>
    </row>
    <row r="568" ht="15.75" customHeight="1">
      <c r="C568" s="91"/>
    </row>
    <row r="569" ht="15.75" customHeight="1">
      <c r="C569" s="91"/>
    </row>
    <row r="570" ht="15.75" customHeight="1">
      <c r="C570" s="91"/>
    </row>
    <row r="571" ht="15.75" customHeight="1">
      <c r="C571" s="91"/>
    </row>
    <row r="572" ht="15.75" customHeight="1">
      <c r="C572" s="91"/>
    </row>
    <row r="573" ht="15.75" customHeight="1">
      <c r="C573" s="91"/>
    </row>
    <row r="574" ht="15.75" customHeight="1">
      <c r="C574" s="91"/>
    </row>
    <row r="575" ht="15.75" customHeight="1">
      <c r="C575" s="91"/>
    </row>
    <row r="576" ht="15.75" customHeight="1">
      <c r="C576" s="91"/>
    </row>
    <row r="577" ht="15.75" customHeight="1">
      <c r="C577" s="91"/>
    </row>
    <row r="578" ht="15.75" customHeight="1">
      <c r="C578" s="91"/>
    </row>
    <row r="579" ht="15.75" customHeight="1">
      <c r="C579" s="91"/>
    </row>
    <row r="580" ht="15.75" customHeight="1">
      <c r="C580" s="91"/>
    </row>
    <row r="581" ht="15.75" customHeight="1">
      <c r="C581" s="91"/>
    </row>
    <row r="582" ht="15.75" customHeight="1">
      <c r="C582" s="91"/>
    </row>
    <row r="583" ht="15.75" customHeight="1">
      <c r="C583" s="91"/>
    </row>
    <row r="584" ht="15.75" customHeight="1">
      <c r="C584" s="91"/>
    </row>
    <row r="585" ht="15.75" customHeight="1">
      <c r="C585" s="91"/>
    </row>
    <row r="586" ht="15.75" customHeight="1">
      <c r="C586" s="91"/>
    </row>
    <row r="587" ht="15.75" customHeight="1">
      <c r="C587" s="91"/>
    </row>
    <row r="588" ht="15.75" customHeight="1">
      <c r="C588" s="91"/>
    </row>
    <row r="589" ht="15.75" customHeight="1">
      <c r="C589" s="91"/>
    </row>
    <row r="590" ht="15.75" customHeight="1">
      <c r="C590" s="91"/>
    </row>
    <row r="591" ht="15.75" customHeight="1">
      <c r="C591" s="91"/>
    </row>
    <row r="592" ht="15.75" customHeight="1">
      <c r="C592" s="91"/>
    </row>
    <row r="593" ht="15.75" customHeight="1">
      <c r="C593" s="91"/>
    </row>
    <row r="594" ht="15.75" customHeight="1">
      <c r="C594" s="91"/>
    </row>
    <row r="595" ht="15.75" customHeight="1">
      <c r="C595" s="91"/>
    </row>
    <row r="596" ht="15.75" customHeight="1">
      <c r="C596" s="91"/>
    </row>
    <row r="597" ht="15.75" customHeight="1">
      <c r="C597" s="91"/>
    </row>
    <row r="598" ht="15.75" customHeight="1">
      <c r="C598" s="91"/>
    </row>
    <row r="599" ht="15.75" customHeight="1">
      <c r="C599" s="91"/>
    </row>
    <row r="600" ht="15.75" customHeight="1">
      <c r="C600" s="91"/>
    </row>
    <row r="601" ht="15.75" customHeight="1">
      <c r="C601" s="91"/>
    </row>
    <row r="602" ht="15.75" customHeight="1">
      <c r="C602" s="91"/>
    </row>
    <row r="603" ht="15.75" customHeight="1">
      <c r="C603" s="91"/>
    </row>
    <row r="604" ht="15.75" customHeight="1">
      <c r="C604" s="91"/>
    </row>
    <row r="605" ht="15.75" customHeight="1">
      <c r="C605" s="91"/>
    </row>
    <row r="606" ht="15.75" customHeight="1">
      <c r="C606" s="91"/>
    </row>
    <row r="607" ht="15.75" customHeight="1">
      <c r="C607" s="91"/>
    </row>
    <row r="608" ht="15.75" customHeight="1">
      <c r="C608" s="91"/>
    </row>
    <row r="609" ht="15.75" customHeight="1">
      <c r="C609" s="91"/>
    </row>
    <row r="610" ht="15.75" customHeight="1">
      <c r="C610" s="91"/>
    </row>
    <row r="611" ht="15.75" customHeight="1">
      <c r="C611" s="91"/>
    </row>
    <row r="612" ht="15.75" customHeight="1">
      <c r="C612" s="91"/>
    </row>
    <row r="613" ht="15.75" customHeight="1">
      <c r="C613" s="91"/>
    </row>
    <row r="614" ht="15.75" customHeight="1">
      <c r="C614" s="91"/>
    </row>
    <row r="615" ht="15.75" customHeight="1">
      <c r="C615" s="91"/>
    </row>
    <row r="616" ht="15.75" customHeight="1">
      <c r="C616" s="91"/>
    </row>
    <row r="617" ht="15.75" customHeight="1">
      <c r="C617" s="91"/>
    </row>
    <row r="618" ht="15.75" customHeight="1">
      <c r="C618" s="91"/>
    </row>
    <row r="619" ht="15.75" customHeight="1">
      <c r="C619" s="91"/>
    </row>
    <row r="620" ht="15.75" customHeight="1">
      <c r="C620" s="91"/>
    </row>
    <row r="621" ht="15.75" customHeight="1">
      <c r="C621" s="91"/>
    </row>
    <row r="622" ht="15.75" customHeight="1">
      <c r="C622" s="91"/>
    </row>
    <row r="623" ht="15.75" customHeight="1">
      <c r="C623" s="91"/>
    </row>
    <row r="624" ht="15.75" customHeight="1">
      <c r="C624" s="91"/>
    </row>
    <row r="625" ht="15.75" customHeight="1">
      <c r="C625" s="91"/>
    </row>
    <row r="626" ht="15.75" customHeight="1">
      <c r="C626" s="91"/>
    </row>
    <row r="627" ht="15.75" customHeight="1">
      <c r="C627" s="91"/>
    </row>
    <row r="628" ht="15.75" customHeight="1">
      <c r="C628" s="91"/>
    </row>
    <row r="629" ht="15.75" customHeight="1">
      <c r="C629" s="91"/>
    </row>
    <row r="630" ht="15.75" customHeight="1">
      <c r="C630" s="91"/>
    </row>
    <row r="631" ht="15.75" customHeight="1">
      <c r="C631" s="91"/>
    </row>
    <row r="632" ht="15.75" customHeight="1">
      <c r="C632" s="91"/>
    </row>
    <row r="633" ht="15.75" customHeight="1">
      <c r="C633" s="91"/>
    </row>
    <row r="634" ht="15.75" customHeight="1">
      <c r="C634" s="91"/>
    </row>
    <row r="635" ht="15.75" customHeight="1">
      <c r="C635" s="91"/>
    </row>
    <row r="636" ht="15.75" customHeight="1">
      <c r="C636" s="91"/>
    </row>
    <row r="637" ht="15.75" customHeight="1">
      <c r="C637" s="91"/>
    </row>
    <row r="638" ht="15.75" customHeight="1">
      <c r="C638" s="91"/>
    </row>
    <row r="639" ht="15.75" customHeight="1">
      <c r="C639" s="91"/>
    </row>
    <row r="640" ht="15.75" customHeight="1">
      <c r="C640" s="91"/>
    </row>
    <row r="641" ht="15.75" customHeight="1">
      <c r="C641" s="91"/>
    </row>
    <row r="642" ht="15.75" customHeight="1">
      <c r="C642" s="91"/>
    </row>
    <row r="643" ht="15.75" customHeight="1">
      <c r="C643" s="91"/>
    </row>
    <row r="644" ht="15.75" customHeight="1">
      <c r="C644" s="91"/>
    </row>
    <row r="645" ht="15.75" customHeight="1">
      <c r="C645" s="91"/>
    </row>
    <row r="646" ht="15.75" customHeight="1">
      <c r="C646" s="91"/>
    </row>
    <row r="647" ht="15.75" customHeight="1">
      <c r="C647" s="91"/>
    </row>
    <row r="648" ht="15.75" customHeight="1">
      <c r="C648" s="91"/>
    </row>
    <row r="649" ht="15.75" customHeight="1">
      <c r="C649" s="91"/>
    </row>
    <row r="650" ht="15.75" customHeight="1">
      <c r="C650" s="91"/>
    </row>
    <row r="651" ht="15.75" customHeight="1">
      <c r="C651" s="91"/>
    </row>
    <row r="652" ht="15.75" customHeight="1">
      <c r="C652" s="91"/>
    </row>
    <row r="653" ht="15.75" customHeight="1">
      <c r="C653" s="91"/>
    </row>
    <row r="654" ht="15.75" customHeight="1">
      <c r="C654" s="91"/>
    </row>
    <row r="655" ht="15.75" customHeight="1">
      <c r="C655" s="91"/>
    </row>
    <row r="656" ht="15.75" customHeight="1">
      <c r="C656" s="91"/>
    </row>
    <row r="657" ht="15.75" customHeight="1">
      <c r="C657" s="91"/>
    </row>
    <row r="658" ht="15.75" customHeight="1">
      <c r="C658" s="91"/>
    </row>
    <row r="659" ht="15.75" customHeight="1">
      <c r="C659" s="91"/>
    </row>
    <row r="660" ht="15.75" customHeight="1">
      <c r="C660" s="91"/>
    </row>
    <row r="661" ht="15.75" customHeight="1">
      <c r="C661" s="91"/>
    </row>
    <row r="662" ht="15.75" customHeight="1">
      <c r="C662" s="91"/>
    </row>
    <row r="663" ht="15.75" customHeight="1">
      <c r="C663" s="91"/>
    </row>
    <row r="664" ht="15.75" customHeight="1">
      <c r="C664" s="91"/>
    </row>
    <row r="665" ht="15.75" customHeight="1">
      <c r="C665" s="91"/>
    </row>
    <row r="666" ht="15.75" customHeight="1">
      <c r="C666" s="91"/>
    </row>
    <row r="667" ht="15.75" customHeight="1">
      <c r="C667" s="91"/>
    </row>
    <row r="668" ht="15.75" customHeight="1">
      <c r="C668" s="91"/>
    </row>
    <row r="669" ht="15.75" customHeight="1">
      <c r="C669" s="91"/>
    </row>
    <row r="670" ht="15.75" customHeight="1">
      <c r="C670" s="91"/>
    </row>
    <row r="671" ht="15.75" customHeight="1">
      <c r="C671" s="91"/>
    </row>
    <row r="672" ht="15.75" customHeight="1">
      <c r="C672" s="91"/>
    </row>
    <row r="673" ht="15.75" customHeight="1">
      <c r="C673" s="91"/>
    </row>
    <row r="674" ht="15.75" customHeight="1">
      <c r="C674" s="91"/>
    </row>
    <row r="675" ht="15.75" customHeight="1">
      <c r="C675" s="91"/>
    </row>
    <row r="676" ht="15.75" customHeight="1">
      <c r="C676" s="91"/>
    </row>
    <row r="677" ht="15.75" customHeight="1">
      <c r="C677" s="91"/>
    </row>
    <row r="678" ht="15.75" customHeight="1">
      <c r="C678" s="91"/>
    </row>
    <row r="679" ht="15.75" customHeight="1">
      <c r="C679" s="91"/>
    </row>
    <row r="680" ht="15.75" customHeight="1">
      <c r="C680" s="91"/>
    </row>
    <row r="681" ht="15.75" customHeight="1">
      <c r="C681" s="91"/>
    </row>
    <row r="682" ht="15.75" customHeight="1">
      <c r="C682" s="91"/>
    </row>
    <row r="683" ht="15.75" customHeight="1">
      <c r="C683" s="91"/>
    </row>
    <row r="684" ht="15.75" customHeight="1">
      <c r="C684" s="91"/>
    </row>
    <row r="685" ht="15.75" customHeight="1">
      <c r="C685" s="91"/>
    </row>
    <row r="686" ht="15.75" customHeight="1">
      <c r="C686" s="91"/>
    </row>
    <row r="687" ht="15.75" customHeight="1">
      <c r="C687" s="91"/>
    </row>
    <row r="688" ht="15.75" customHeight="1">
      <c r="C688" s="91"/>
    </row>
    <row r="689" ht="15.75" customHeight="1">
      <c r="C689" s="91"/>
    </row>
    <row r="690" ht="15.75" customHeight="1">
      <c r="C690" s="91"/>
    </row>
    <row r="691" ht="15.75" customHeight="1">
      <c r="C691" s="91"/>
    </row>
    <row r="692" ht="15.75" customHeight="1">
      <c r="C692" s="91"/>
    </row>
    <row r="693" ht="15.75" customHeight="1">
      <c r="C693" s="91"/>
    </row>
    <row r="694" ht="15.75" customHeight="1">
      <c r="C694" s="91"/>
    </row>
    <row r="695" ht="15.75" customHeight="1">
      <c r="C695" s="91"/>
    </row>
    <row r="696" ht="15.75" customHeight="1">
      <c r="C696" s="91"/>
    </row>
    <row r="697" ht="15.75" customHeight="1">
      <c r="C697" s="91"/>
    </row>
    <row r="698" ht="15.75" customHeight="1">
      <c r="C698" s="91"/>
    </row>
    <row r="699" ht="15.75" customHeight="1">
      <c r="C699" s="91"/>
    </row>
    <row r="700" ht="15.75" customHeight="1">
      <c r="C700" s="91"/>
    </row>
    <row r="701" ht="15.75" customHeight="1">
      <c r="C701" s="91"/>
    </row>
    <row r="702" ht="15.75" customHeight="1">
      <c r="C702" s="91"/>
    </row>
    <row r="703" ht="15.75" customHeight="1">
      <c r="C703" s="91"/>
    </row>
    <row r="704" ht="15.75" customHeight="1">
      <c r="C704" s="91"/>
    </row>
    <row r="705" ht="15.75" customHeight="1">
      <c r="C705" s="91"/>
    </row>
    <row r="706" ht="15.75" customHeight="1">
      <c r="C706" s="91"/>
    </row>
    <row r="707" ht="15.75" customHeight="1">
      <c r="C707" s="91"/>
    </row>
    <row r="708" ht="15.75" customHeight="1">
      <c r="C708" s="91"/>
    </row>
    <row r="709" ht="15.75" customHeight="1">
      <c r="C709" s="91"/>
    </row>
    <row r="710" ht="15.75" customHeight="1">
      <c r="C710" s="91"/>
    </row>
    <row r="711" ht="15.75" customHeight="1">
      <c r="C711" s="91"/>
    </row>
    <row r="712" ht="15.75" customHeight="1">
      <c r="C712" s="91"/>
    </row>
    <row r="713" ht="15.75" customHeight="1">
      <c r="C713" s="91"/>
    </row>
    <row r="714" ht="15.75" customHeight="1">
      <c r="C714" s="91"/>
    </row>
    <row r="715" ht="15.75" customHeight="1">
      <c r="C715" s="91"/>
    </row>
    <row r="716" ht="15.75" customHeight="1">
      <c r="C716" s="91"/>
    </row>
    <row r="717" ht="15.75" customHeight="1">
      <c r="C717" s="91"/>
    </row>
    <row r="718" ht="15.75" customHeight="1">
      <c r="C718" s="91"/>
    </row>
    <row r="719" ht="15.75" customHeight="1">
      <c r="C719" s="91"/>
    </row>
    <row r="720" ht="15.75" customHeight="1">
      <c r="C720" s="91"/>
    </row>
    <row r="721" ht="15.75" customHeight="1">
      <c r="C721" s="91"/>
    </row>
    <row r="722" ht="15.75" customHeight="1">
      <c r="C722" s="91"/>
    </row>
    <row r="723" ht="15.75" customHeight="1">
      <c r="C723" s="91"/>
    </row>
    <row r="724" ht="15.75" customHeight="1">
      <c r="C724" s="91"/>
    </row>
    <row r="725" ht="15.75" customHeight="1">
      <c r="C725" s="91"/>
    </row>
    <row r="726" ht="15.75" customHeight="1">
      <c r="C726" s="91"/>
    </row>
    <row r="727" ht="15.75" customHeight="1">
      <c r="C727" s="91"/>
    </row>
    <row r="728" ht="15.75" customHeight="1">
      <c r="C728" s="91"/>
    </row>
    <row r="729" ht="15.75" customHeight="1">
      <c r="C729" s="91"/>
    </row>
    <row r="730" ht="15.75" customHeight="1">
      <c r="C730" s="91"/>
    </row>
    <row r="731" ht="15.75" customHeight="1">
      <c r="C731" s="91"/>
    </row>
    <row r="732" ht="15.75" customHeight="1">
      <c r="C732" s="91"/>
    </row>
    <row r="733" ht="15.75" customHeight="1">
      <c r="C733" s="91"/>
    </row>
    <row r="734" ht="15.75" customHeight="1">
      <c r="C734" s="91"/>
    </row>
    <row r="735" ht="15.75" customHeight="1">
      <c r="C735" s="91"/>
    </row>
    <row r="736" ht="15.75" customHeight="1">
      <c r="C736" s="91"/>
    </row>
    <row r="737" ht="15.75" customHeight="1">
      <c r="C737" s="91"/>
    </row>
    <row r="738" ht="15.75" customHeight="1">
      <c r="C738" s="91"/>
    </row>
    <row r="739" ht="15.75" customHeight="1">
      <c r="C739" s="91"/>
    </row>
    <row r="740" ht="15.75" customHeight="1">
      <c r="C740" s="91"/>
    </row>
    <row r="741" ht="15.75" customHeight="1">
      <c r="C741" s="91"/>
    </row>
    <row r="742" ht="15.75" customHeight="1">
      <c r="C742" s="91"/>
    </row>
    <row r="743" ht="15.75" customHeight="1">
      <c r="C743" s="91"/>
    </row>
    <row r="744" ht="15.75" customHeight="1">
      <c r="C744" s="91"/>
    </row>
    <row r="745" ht="15.75" customHeight="1">
      <c r="C745" s="91"/>
    </row>
    <row r="746" ht="15.75" customHeight="1">
      <c r="C746" s="91"/>
    </row>
    <row r="747" ht="15.75" customHeight="1">
      <c r="C747" s="91"/>
    </row>
    <row r="748" ht="15.75" customHeight="1">
      <c r="C748" s="91"/>
    </row>
    <row r="749" ht="15.75" customHeight="1">
      <c r="C749" s="91"/>
    </row>
    <row r="750" ht="15.75" customHeight="1">
      <c r="C750" s="91"/>
    </row>
    <row r="751" ht="15.75" customHeight="1">
      <c r="C751" s="91"/>
    </row>
    <row r="752" ht="15.75" customHeight="1">
      <c r="C752" s="91"/>
    </row>
    <row r="753" ht="15.75" customHeight="1">
      <c r="C753" s="91"/>
    </row>
    <row r="754" ht="15.75" customHeight="1">
      <c r="C754" s="91"/>
    </row>
    <row r="755" ht="15.75" customHeight="1">
      <c r="C755" s="91"/>
    </row>
    <row r="756" ht="15.75" customHeight="1">
      <c r="C756" s="91"/>
    </row>
    <row r="757" ht="15.75" customHeight="1">
      <c r="C757" s="91"/>
    </row>
    <row r="758" ht="15.75" customHeight="1">
      <c r="C758" s="91"/>
    </row>
    <row r="759" ht="15.75" customHeight="1">
      <c r="C759" s="91"/>
    </row>
    <row r="760" ht="15.75" customHeight="1">
      <c r="C760" s="91"/>
    </row>
    <row r="761" ht="15.75" customHeight="1">
      <c r="C761" s="91"/>
    </row>
    <row r="762" ht="15.75" customHeight="1">
      <c r="C762" s="91"/>
    </row>
    <row r="763" ht="15.75" customHeight="1">
      <c r="C763" s="91"/>
    </row>
    <row r="764" ht="15.75" customHeight="1">
      <c r="C764" s="91"/>
    </row>
    <row r="765" ht="15.75" customHeight="1">
      <c r="C765" s="91"/>
    </row>
    <row r="766" ht="15.75" customHeight="1">
      <c r="C766" s="91"/>
    </row>
    <row r="767" ht="15.75" customHeight="1">
      <c r="C767" s="91"/>
    </row>
    <row r="768" ht="15.75" customHeight="1">
      <c r="C768" s="91"/>
    </row>
    <row r="769" ht="15.75" customHeight="1">
      <c r="C769" s="91"/>
    </row>
    <row r="770" ht="15.75" customHeight="1">
      <c r="C770" s="91"/>
    </row>
    <row r="771" ht="15.75" customHeight="1">
      <c r="C771" s="91"/>
    </row>
    <row r="772" ht="15.75" customHeight="1">
      <c r="C772" s="91"/>
    </row>
    <row r="773" ht="15.75" customHeight="1">
      <c r="C773" s="91"/>
    </row>
    <row r="774" ht="15.75" customHeight="1">
      <c r="C774" s="91"/>
    </row>
    <row r="775" ht="15.75" customHeight="1">
      <c r="C775" s="91"/>
    </row>
    <row r="776" ht="15.75" customHeight="1">
      <c r="C776" s="91"/>
    </row>
    <row r="777" ht="15.75" customHeight="1">
      <c r="C777" s="91"/>
    </row>
    <row r="778" ht="15.75" customHeight="1">
      <c r="C778" s="91"/>
    </row>
    <row r="779" ht="15.75" customHeight="1">
      <c r="C779" s="91"/>
    </row>
    <row r="780" ht="15.75" customHeight="1">
      <c r="C780" s="91"/>
    </row>
    <row r="781" ht="15.75" customHeight="1">
      <c r="C781" s="91"/>
    </row>
    <row r="782" ht="15.75" customHeight="1">
      <c r="C782" s="91"/>
    </row>
    <row r="783" ht="15.75" customHeight="1">
      <c r="C783" s="91"/>
    </row>
    <row r="784" ht="15.75" customHeight="1">
      <c r="C784" s="91"/>
    </row>
    <row r="785" ht="15.75" customHeight="1">
      <c r="C785" s="91"/>
    </row>
    <row r="786" ht="15.75" customHeight="1">
      <c r="C786" s="91"/>
    </row>
    <row r="787" ht="15.75" customHeight="1">
      <c r="C787" s="91"/>
    </row>
    <row r="788" ht="15.75" customHeight="1">
      <c r="C788" s="91"/>
    </row>
    <row r="789" ht="15.75" customHeight="1">
      <c r="C789" s="91"/>
    </row>
    <row r="790" ht="15.75" customHeight="1">
      <c r="C790" s="91"/>
    </row>
    <row r="791" ht="15.75" customHeight="1">
      <c r="C791" s="91"/>
    </row>
    <row r="792" ht="15.75" customHeight="1">
      <c r="C792" s="91"/>
    </row>
    <row r="793" ht="15.75" customHeight="1">
      <c r="C793" s="91"/>
    </row>
    <row r="794" ht="15.75" customHeight="1">
      <c r="C794" s="91"/>
    </row>
    <row r="795" ht="15.75" customHeight="1">
      <c r="C795" s="91"/>
    </row>
    <row r="796" ht="15.75" customHeight="1">
      <c r="C796" s="91"/>
    </row>
    <row r="797" ht="15.75" customHeight="1">
      <c r="C797" s="91"/>
    </row>
    <row r="798" ht="15.75" customHeight="1">
      <c r="C798" s="91"/>
    </row>
    <row r="799" ht="15.75" customHeight="1">
      <c r="C799" s="91"/>
    </row>
    <row r="800" ht="15.75" customHeight="1">
      <c r="C800" s="91"/>
    </row>
    <row r="801" ht="15.75" customHeight="1">
      <c r="C801" s="91"/>
    </row>
    <row r="802" ht="15.75" customHeight="1">
      <c r="C802" s="91"/>
    </row>
    <row r="803" ht="15.75" customHeight="1">
      <c r="C803" s="91"/>
    </row>
    <row r="804" ht="15.75" customHeight="1">
      <c r="C804" s="91"/>
    </row>
    <row r="805" ht="15.75" customHeight="1">
      <c r="C805" s="91"/>
    </row>
    <row r="806" ht="15.75" customHeight="1">
      <c r="C806" s="91"/>
    </row>
    <row r="807" ht="15.75" customHeight="1">
      <c r="C807" s="91"/>
    </row>
    <row r="808" ht="15.75" customHeight="1">
      <c r="C808" s="91"/>
    </row>
    <row r="809" ht="15.75" customHeight="1">
      <c r="C809" s="91"/>
    </row>
    <row r="810" ht="15.75" customHeight="1">
      <c r="C810" s="91"/>
    </row>
    <row r="811" ht="15.75" customHeight="1">
      <c r="C811" s="91"/>
    </row>
    <row r="812" ht="15.75" customHeight="1">
      <c r="C812" s="91"/>
    </row>
    <row r="813" ht="15.75" customHeight="1">
      <c r="C813" s="91"/>
    </row>
    <row r="814" ht="15.75" customHeight="1">
      <c r="C814" s="91"/>
    </row>
    <row r="815" ht="15.75" customHeight="1">
      <c r="C815" s="91"/>
    </row>
    <row r="816" ht="15.75" customHeight="1">
      <c r="C816" s="91"/>
    </row>
    <row r="817" ht="15.75" customHeight="1">
      <c r="C817" s="91"/>
    </row>
    <row r="818" ht="15.75" customHeight="1">
      <c r="C818" s="91"/>
    </row>
    <row r="819" ht="15.75" customHeight="1">
      <c r="C819" s="91"/>
    </row>
    <row r="820" ht="15.75" customHeight="1">
      <c r="C820" s="91"/>
    </row>
    <row r="821" ht="15.75" customHeight="1">
      <c r="C821" s="91"/>
    </row>
    <row r="822" ht="15.75" customHeight="1">
      <c r="C822" s="91"/>
    </row>
    <row r="823" ht="15.75" customHeight="1">
      <c r="C823" s="91"/>
    </row>
    <row r="824" ht="15.75" customHeight="1">
      <c r="C824" s="91"/>
    </row>
    <row r="825" ht="15.75" customHeight="1">
      <c r="C825" s="91"/>
    </row>
    <row r="826" ht="15.75" customHeight="1">
      <c r="C826" s="91"/>
    </row>
    <row r="827" ht="15.75" customHeight="1">
      <c r="C827" s="91"/>
    </row>
    <row r="828" ht="15.75" customHeight="1">
      <c r="C828" s="91"/>
    </row>
    <row r="829" ht="15.75" customHeight="1">
      <c r="C829" s="91"/>
    </row>
    <row r="830" ht="15.75" customHeight="1">
      <c r="C830" s="91"/>
    </row>
    <row r="831" ht="15.75" customHeight="1">
      <c r="C831" s="91"/>
    </row>
    <row r="832" ht="15.75" customHeight="1">
      <c r="C832" s="91"/>
    </row>
    <row r="833" ht="15.75" customHeight="1">
      <c r="C833" s="91"/>
    </row>
    <row r="834" ht="15.75" customHeight="1">
      <c r="C834" s="91"/>
    </row>
    <row r="835" ht="15.75" customHeight="1">
      <c r="C835" s="91"/>
    </row>
    <row r="836" ht="15.75" customHeight="1">
      <c r="C836" s="91"/>
    </row>
    <row r="837" ht="15.75" customHeight="1">
      <c r="C837" s="91"/>
    </row>
    <row r="838" ht="15.75" customHeight="1">
      <c r="C838" s="91"/>
    </row>
    <row r="839" ht="15.75" customHeight="1">
      <c r="C839" s="91"/>
    </row>
    <row r="840" ht="15.75" customHeight="1">
      <c r="C840" s="91"/>
    </row>
    <row r="841" ht="15.75" customHeight="1">
      <c r="C841" s="91"/>
    </row>
    <row r="842" ht="15.75" customHeight="1">
      <c r="C842" s="91"/>
    </row>
    <row r="843" ht="15.75" customHeight="1">
      <c r="C843" s="91"/>
    </row>
    <row r="844" ht="15.75" customHeight="1">
      <c r="C844" s="91"/>
    </row>
    <row r="845" ht="15.75" customHeight="1">
      <c r="C845" s="91"/>
    </row>
    <row r="846" ht="15.75" customHeight="1">
      <c r="C846" s="91"/>
    </row>
    <row r="847" ht="15.75" customHeight="1">
      <c r="C847" s="91"/>
    </row>
    <row r="848" ht="15.75" customHeight="1">
      <c r="C848" s="91"/>
    </row>
    <row r="849" ht="15.75" customHeight="1">
      <c r="C849" s="91"/>
    </row>
    <row r="850" ht="15.75" customHeight="1">
      <c r="C850" s="91"/>
    </row>
    <row r="851" ht="15.75" customHeight="1">
      <c r="C851" s="91"/>
    </row>
    <row r="852" ht="15.75" customHeight="1">
      <c r="C852" s="91"/>
    </row>
    <row r="853" ht="15.75" customHeight="1">
      <c r="C853" s="91"/>
    </row>
    <row r="854" ht="15.75" customHeight="1">
      <c r="C854" s="91"/>
    </row>
    <row r="855" ht="15.75" customHeight="1">
      <c r="C855" s="91"/>
    </row>
    <row r="856" ht="15.75" customHeight="1">
      <c r="C856" s="91"/>
    </row>
    <row r="857" ht="15.75" customHeight="1">
      <c r="C857" s="91"/>
    </row>
    <row r="858" ht="15.75" customHeight="1">
      <c r="C858" s="91"/>
    </row>
    <row r="859" ht="15.75" customHeight="1">
      <c r="C859" s="91"/>
    </row>
    <row r="860" ht="15.75" customHeight="1">
      <c r="C860" s="91"/>
    </row>
    <row r="861" ht="15.75" customHeight="1">
      <c r="C861" s="91"/>
    </row>
    <row r="862" ht="15.75" customHeight="1">
      <c r="C862" s="91"/>
    </row>
    <row r="863" ht="15.75" customHeight="1">
      <c r="C863" s="91"/>
    </row>
    <row r="864" ht="15.75" customHeight="1">
      <c r="C864" s="91"/>
    </row>
    <row r="865" ht="15.75" customHeight="1">
      <c r="C865" s="91"/>
    </row>
    <row r="866" ht="15.75" customHeight="1">
      <c r="C866" s="91"/>
    </row>
    <row r="867" ht="15.75" customHeight="1">
      <c r="C867" s="91"/>
    </row>
    <row r="868" ht="15.75" customHeight="1">
      <c r="C868" s="91"/>
    </row>
    <row r="869" ht="15.75" customHeight="1">
      <c r="C869" s="91"/>
    </row>
    <row r="870" ht="15.75" customHeight="1">
      <c r="C870" s="91"/>
    </row>
    <row r="871" ht="15.75" customHeight="1">
      <c r="C871" s="91"/>
    </row>
    <row r="872" ht="15.75" customHeight="1">
      <c r="C872" s="91"/>
    </row>
    <row r="873" ht="15.75" customHeight="1">
      <c r="C873" s="91"/>
    </row>
    <row r="874" ht="15.75" customHeight="1">
      <c r="C874" s="91"/>
    </row>
    <row r="875" ht="15.75" customHeight="1">
      <c r="C875" s="91"/>
    </row>
    <row r="876" ht="15.75" customHeight="1">
      <c r="C876" s="91"/>
    </row>
    <row r="877" ht="15.75" customHeight="1">
      <c r="C877" s="91"/>
    </row>
    <row r="878" ht="15.75" customHeight="1">
      <c r="C878" s="91"/>
    </row>
    <row r="879" ht="15.75" customHeight="1">
      <c r="C879" s="91"/>
    </row>
    <row r="880" ht="15.75" customHeight="1">
      <c r="C880" s="91"/>
    </row>
    <row r="881" ht="15.75" customHeight="1">
      <c r="C881" s="91"/>
    </row>
    <row r="882" ht="15.75" customHeight="1">
      <c r="C882" s="91"/>
    </row>
    <row r="883" ht="15.75" customHeight="1">
      <c r="C883" s="91"/>
    </row>
    <row r="884" ht="15.75" customHeight="1">
      <c r="C884" s="91"/>
    </row>
    <row r="885" ht="15.75" customHeight="1">
      <c r="C885" s="91"/>
    </row>
    <row r="886" ht="15.75" customHeight="1">
      <c r="C886" s="91"/>
    </row>
    <row r="887" ht="15.75" customHeight="1">
      <c r="C887" s="91"/>
    </row>
    <row r="888" ht="15.75" customHeight="1">
      <c r="C888" s="91"/>
    </row>
    <row r="889" ht="15.75" customHeight="1">
      <c r="C889" s="91"/>
    </row>
    <row r="890" ht="15.75" customHeight="1">
      <c r="C890" s="91"/>
    </row>
    <row r="891" ht="15.75" customHeight="1">
      <c r="C891" s="91"/>
    </row>
    <row r="892" ht="15.75" customHeight="1">
      <c r="C892" s="91"/>
    </row>
    <row r="893" ht="15.75" customHeight="1">
      <c r="C893" s="91"/>
    </row>
    <row r="894" ht="15.75" customHeight="1">
      <c r="C894" s="91"/>
    </row>
    <row r="895" ht="15.75" customHeight="1">
      <c r="C895" s="91"/>
    </row>
    <row r="896" ht="15.75" customHeight="1">
      <c r="C896" s="91"/>
    </row>
    <row r="897" ht="15.75" customHeight="1">
      <c r="C897" s="91"/>
    </row>
    <row r="898" ht="15.75" customHeight="1">
      <c r="C898" s="91"/>
    </row>
    <row r="899" ht="15.75" customHeight="1">
      <c r="C899" s="91"/>
    </row>
    <row r="900" ht="15.75" customHeight="1">
      <c r="C900" s="91"/>
    </row>
    <row r="901" ht="15.75" customHeight="1">
      <c r="C901" s="91"/>
    </row>
    <row r="902" ht="15.75" customHeight="1">
      <c r="C902" s="91"/>
    </row>
    <row r="903" ht="15.75" customHeight="1">
      <c r="C903" s="91"/>
    </row>
    <row r="904" ht="15.75" customHeight="1">
      <c r="C904" s="91"/>
    </row>
    <row r="905" ht="15.75" customHeight="1">
      <c r="C905" s="91"/>
    </row>
    <row r="906" ht="15.75" customHeight="1">
      <c r="C906" s="91"/>
    </row>
    <row r="907" ht="15.75" customHeight="1">
      <c r="C907" s="91"/>
    </row>
    <row r="908" ht="15.75" customHeight="1">
      <c r="C908" s="91"/>
    </row>
    <row r="909" ht="15.75" customHeight="1">
      <c r="C909" s="91"/>
    </row>
    <row r="910" ht="15.75" customHeight="1">
      <c r="C910" s="91"/>
    </row>
    <row r="911" ht="15.75" customHeight="1">
      <c r="C911" s="91"/>
    </row>
    <row r="912" ht="15.75" customHeight="1">
      <c r="C912" s="91"/>
    </row>
    <row r="913" ht="15.75" customHeight="1">
      <c r="C913" s="91"/>
    </row>
    <row r="914" ht="15.75" customHeight="1">
      <c r="C914" s="91"/>
    </row>
    <row r="915" ht="15.75" customHeight="1">
      <c r="C915" s="91"/>
    </row>
    <row r="916" ht="15.75" customHeight="1">
      <c r="C916" s="91"/>
    </row>
    <row r="917" ht="15.75" customHeight="1">
      <c r="C917" s="91"/>
    </row>
    <row r="918" ht="15.75" customHeight="1">
      <c r="C918" s="91"/>
    </row>
    <row r="919" ht="15.75" customHeight="1">
      <c r="C919" s="91"/>
    </row>
    <row r="920" ht="15.75" customHeight="1">
      <c r="C920" s="91"/>
    </row>
    <row r="921" ht="15.75" customHeight="1">
      <c r="C921" s="91"/>
    </row>
    <row r="922" ht="15.75" customHeight="1">
      <c r="C922" s="91"/>
    </row>
    <row r="923" ht="15.75" customHeight="1">
      <c r="C923" s="91"/>
    </row>
    <row r="924" ht="15.75" customHeight="1">
      <c r="C924" s="91"/>
    </row>
    <row r="925" ht="15.75" customHeight="1">
      <c r="C925" s="91"/>
    </row>
    <row r="926" ht="15.75" customHeight="1">
      <c r="C926" s="91"/>
    </row>
    <row r="927" ht="15.75" customHeight="1">
      <c r="C927" s="91"/>
    </row>
    <row r="928" ht="15.75" customHeight="1">
      <c r="C928" s="91"/>
    </row>
    <row r="929" ht="15.75" customHeight="1">
      <c r="C929" s="91"/>
    </row>
    <row r="930" ht="15.75" customHeight="1">
      <c r="C930" s="91"/>
    </row>
    <row r="931" ht="15.75" customHeight="1">
      <c r="C931" s="91"/>
    </row>
    <row r="932" ht="15.75" customHeight="1">
      <c r="C932" s="91"/>
    </row>
    <row r="933" ht="15.75" customHeight="1">
      <c r="C933" s="91"/>
    </row>
    <row r="934" ht="15.75" customHeight="1">
      <c r="C934" s="91"/>
    </row>
    <row r="935" ht="15.75" customHeight="1">
      <c r="C935" s="91"/>
    </row>
    <row r="936" ht="15.75" customHeight="1">
      <c r="C936" s="91"/>
    </row>
    <row r="937" ht="15.75" customHeight="1">
      <c r="C937" s="91"/>
    </row>
    <row r="938" ht="15.75" customHeight="1">
      <c r="C938" s="91"/>
    </row>
    <row r="939" ht="15.75" customHeight="1">
      <c r="C939" s="91"/>
    </row>
    <row r="940" ht="15.75" customHeight="1">
      <c r="C940" s="91"/>
    </row>
    <row r="941" ht="15.75" customHeight="1">
      <c r="C941" s="91"/>
    </row>
    <row r="942" ht="15.75" customHeight="1">
      <c r="C942" s="91"/>
    </row>
    <row r="943" ht="15.75" customHeight="1">
      <c r="C943" s="91"/>
    </row>
    <row r="944" ht="15.75" customHeight="1">
      <c r="C944" s="91"/>
    </row>
    <row r="945" ht="15.75" customHeight="1">
      <c r="C945" s="91"/>
    </row>
    <row r="946" ht="15.75" customHeight="1">
      <c r="C946" s="91"/>
    </row>
    <row r="947" ht="15.75" customHeight="1">
      <c r="C947" s="91"/>
    </row>
    <row r="948" ht="15.75" customHeight="1">
      <c r="C948" s="91"/>
    </row>
    <row r="949" ht="15.75" customHeight="1">
      <c r="C949" s="91"/>
    </row>
    <row r="950" ht="15.75" customHeight="1">
      <c r="C950" s="91"/>
    </row>
    <row r="951" ht="15.75" customHeight="1">
      <c r="C951" s="91"/>
    </row>
    <row r="952" ht="15.75" customHeight="1">
      <c r="C952" s="91"/>
    </row>
    <row r="953" ht="15.75" customHeight="1">
      <c r="C953" s="91"/>
    </row>
    <row r="954" ht="15.75" customHeight="1">
      <c r="C954" s="91"/>
    </row>
    <row r="955" ht="15.75" customHeight="1">
      <c r="C955" s="91"/>
    </row>
    <row r="956" ht="15.75" customHeight="1">
      <c r="C956" s="91"/>
    </row>
    <row r="957" ht="15.75" customHeight="1">
      <c r="C957" s="91"/>
    </row>
    <row r="958" ht="15.75" customHeight="1">
      <c r="C958" s="91"/>
    </row>
    <row r="959" ht="15.75" customHeight="1">
      <c r="C959" s="91"/>
    </row>
    <row r="960" ht="15.75" customHeight="1">
      <c r="C960" s="91"/>
    </row>
    <row r="961" ht="15.75" customHeight="1">
      <c r="C961" s="91"/>
    </row>
    <row r="962" ht="15.75" customHeight="1">
      <c r="C962" s="91"/>
    </row>
    <row r="963" ht="15.75" customHeight="1">
      <c r="C963" s="91"/>
    </row>
    <row r="964" ht="15.75" customHeight="1">
      <c r="C964" s="91"/>
    </row>
    <row r="965" ht="15.75" customHeight="1">
      <c r="C965" s="91"/>
    </row>
    <row r="966" ht="15.75" customHeight="1">
      <c r="C966" s="91"/>
    </row>
    <row r="967" ht="15.75" customHeight="1">
      <c r="C967" s="91"/>
    </row>
    <row r="968" ht="15.75" customHeight="1">
      <c r="C968" s="91"/>
    </row>
    <row r="969" ht="15.75" customHeight="1">
      <c r="C969" s="91"/>
    </row>
    <row r="970" ht="15.75" customHeight="1">
      <c r="C970" s="91"/>
    </row>
    <row r="971" ht="15.75" customHeight="1">
      <c r="C971" s="91"/>
    </row>
    <row r="972" ht="15.75" customHeight="1">
      <c r="C972" s="91"/>
    </row>
    <row r="973" ht="15.75" customHeight="1">
      <c r="C973" s="91"/>
    </row>
    <row r="974" ht="15.75" customHeight="1">
      <c r="C974" s="91"/>
    </row>
    <row r="975" ht="15.75" customHeight="1">
      <c r="C975" s="91"/>
    </row>
    <row r="976" ht="15.75" customHeight="1">
      <c r="C976" s="91"/>
    </row>
    <row r="977" ht="15.75" customHeight="1">
      <c r="C977" s="91"/>
    </row>
    <row r="978" ht="15.75" customHeight="1">
      <c r="C978" s="91"/>
    </row>
    <row r="979" ht="15.75" customHeight="1">
      <c r="C979" s="91"/>
    </row>
    <row r="980" ht="15.75" customHeight="1">
      <c r="C980" s="91"/>
    </row>
    <row r="981" ht="15.75" customHeight="1">
      <c r="C981" s="91"/>
    </row>
    <row r="982" ht="15.75" customHeight="1">
      <c r="C982" s="91"/>
    </row>
    <row r="983" ht="15.75" customHeight="1">
      <c r="C983" s="91"/>
    </row>
    <row r="984" ht="15.75" customHeight="1">
      <c r="C984" s="91"/>
    </row>
    <row r="985" ht="15.75" customHeight="1">
      <c r="C985" s="91"/>
    </row>
    <row r="986" ht="15.75" customHeight="1">
      <c r="C986" s="91"/>
    </row>
    <row r="987" ht="15.75" customHeight="1">
      <c r="C987" s="91"/>
    </row>
    <row r="988" ht="15.75" customHeight="1">
      <c r="C988" s="91"/>
    </row>
    <row r="989" ht="15.75" customHeight="1">
      <c r="C989" s="91"/>
    </row>
    <row r="990" ht="15.75" customHeight="1">
      <c r="C990" s="91"/>
    </row>
    <row r="991" ht="15.75" customHeight="1">
      <c r="C991" s="91"/>
    </row>
    <row r="992" ht="15.75" customHeight="1">
      <c r="C992" s="91"/>
    </row>
    <row r="993" ht="15.75" customHeight="1">
      <c r="C993" s="91"/>
    </row>
    <row r="994" ht="15.75" customHeight="1">
      <c r="C994" s="91"/>
    </row>
    <row r="995" ht="15.75" customHeight="1">
      <c r="C995" s="91"/>
    </row>
    <row r="996" ht="15.75" customHeight="1">
      <c r="C996" s="91"/>
    </row>
    <row r="997" ht="15.75" customHeight="1">
      <c r="C997" s="91"/>
    </row>
    <row r="998" ht="15.75" customHeight="1">
      <c r="C998" s="91"/>
    </row>
    <row r="999" ht="15.75" customHeight="1">
      <c r="C999" s="91"/>
    </row>
    <row r="1000" ht="15.75" customHeight="1">
      <c r="C1000" s="91"/>
    </row>
  </sheetData>
  <mergeCells count="18">
    <mergeCell ref="B6:B7"/>
    <mergeCell ref="C6:C7"/>
    <mergeCell ref="D6:F6"/>
    <mergeCell ref="G6:I6"/>
    <mergeCell ref="J6:L6"/>
    <mergeCell ref="M6:P6"/>
    <mergeCell ref="Q6:U6"/>
    <mergeCell ref="V6:Y6"/>
    <mergeCell ref="Z6:AD6"/>
    <mergeCell ref="AE6:AH6"/>
    <mergeCell ref="A1:AI1"/>
    <mergeCell ref="C3:P3"/>
    <mergeCell ref="Q3:U3"/>
    <mergeCell ref="V3:AE3"/>
    <mergeCell ref="C4:P4"/>
    <mergeCell ref="V4:AE4"/>
    <mergeCell ref="A6:A7"/>
    <mergeCell ref="AI6:AI7"/>
  </mergeCells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43.22"/>
    <col customWidth="1" min="3" max="3" width="5.78"/>
    <col customWidth="1" min="4" max="4" width="5.11"/>
    <col customWidth="1" min="5" max="5" width="4.78"/>
    <col customWidth="1" min="6" max="6" width="5.44"/>
    <col customWidth="1" min="7" max="7" width="4.44"/>
    <col customWidth="1" min="8" max="9" width="5.0"/>
    <col customWidth="1" min="10" max="10" width="5.11"/>
    <col customWidth="1" min="11" max="11" width="4.67"/>
    <col customWidth="1" min="12" max="14" width="4.78"/>
    <col customWidth="1" min="15" max="15" width="4.67"/>
    <col customWidth="1" min="16" max="16" width="4.78"/>
    <col customWidth="1" min="17" max="18" width="5.11"/>
    <col customWidth="1" min="19" max="19" width="4.78"/>
    <col customWidth="1" min="20" max="21" width="4.67"/>
    <col customWidth="1" min="22" max="23" width="4.33"/>
    <col customWidth="1" min="24" max="24" width="5.0"/>
    <col customWidth="1" min="25" max="25" width="4.67"/>
    <col customWidth="1" min="26" max="26" width="4.78"/>
    <col customWidth="1" min="27" max="27" width="4.67"/>
    <col customWidth="1" min="28" max="28" width="4.44"/>
    <col customWidth="1" min="29" max="30" width="4.78"/>
    <col customWidth="1" min="31" max="31" width="4.67"/>
    <col customWidth="1" min="32" max="32" width="4.78"/>
    <col customWidth="1" min="33" max="33" width="6.67"/>
  </cols>
  <sheetData>
    <row r="1" ht="25.5" customHeight="1">
      <c r="A1" s="173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ht="16.5" customHeight="1">
      <c r="A2" s="261"/>
      <c r="AG2" s="7"/>
    </row>
    <row r="3" ht="23.25" customHeight="1">
      <c r="A3" s="261"/>
      <c r="B3" s="9" t="s">
        <v>1</v>
      </c>
      <c r="C3" s="10" t="s">
        <v>2</v>
      </c>
      <c r="Q3" s="9" t="s">
        <v>3</v>
      </c>
      <c r="V3" s="11" t="s">
        <v>227</v>
      </c>
      <c r="AG3" s="7"/>
    </row>
    <row r="4" ht="19.5" customHeight="1">
      <c r="A4" s="265"/>
      <c r="B4" s="13" t="s">
        <v>5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7</v>
      </c>
      <c r="R4" s="13"/>
      <c r="S4" s="13"/>
      <c r="T4" s="13"/>
      <c r="U4" s="13"/>
      <c r="V4" s="174" t="s">
        <v>228</v>
      </c>
      <c r="W4" s="15"/>
      <c r="X4" s="15"/>
      <c r="Y4" s="15"/>
      <c r="Z4" s="15"/>
      <c r="AA4" s="15"/>
      <c r="AB4" s="15"/>
      <c r="AC4" s="15"/>
      <c r="AD4" s="15"/>
      <c r="AE4" s="15"/>
      <c r="AF4" s="17"/>
      <c r="AG4" s="266"/>
    </row>
    <row r="5" ht="15.75" customHeight="1">
      <c r="A5" s="19"/>
      <c r="B5" s="19"/>
      <c r="C5" s="19"/>
    </row>
    <row r="6" ht="15.75" customHeight="1">
      <c r="A6" s="176" t="s">
        <v>9</v>
      </c>
      <c r="B6" s="177" t="s">
        <v>10</v>
      </c>
      <c r="C6" s="178" t="s">
        <v>11</v>
      </c>
      <c r="D6" s="22" t="s">
        <v>12</v>
      </c>
      <c r="E6" s="23"/>
      <c r="F6" s="24"/>
      <c r="G6" s="179" t="s">
        <v>53</v>
      </c>
      <c r="H6" s="23"/>
      <c r="I6" s="24"/>
      <c r="J6" s="268" t="s">
        <v>131</v>
      </c>
      <c r="K6" s="269" t="s">
        <v>132</v>
      </c>
      <c r="L6" s="270" t="s">
        <v>133</v>
      </c>
      <c r="M6" s="271" t="s">
        <v>55</v>
      </c>
      <c r="N6" s="23"/>
      <c r="O6" s="24"/>
      <c r="P6" s="272" t="s">
        <v>15</v>
      </c>
      <c r="Q6" s="23"/>
      <c r="R6" s="23"/>
      <c r="S6" s="24"/>
      <c r="T6" s="181" t="s">
        <v>16</v>
      </c>
      <c r="U6" s="23"/>
      <c r="V6" s="23"/>
      <c r="W6" s="24"/>
      <c r="X6" s="273" t="s">
        <v>17</v>
      </c>
      <c r="Y6" s="23"/>
      <c r="Z6" s="23"/>
      <c r="AA6" s="23"/>
      <c r="AB6" s="23"/>
      <c r="AC6" s="274" t="s">
        <v>18</v>
      </c>
      <c r="AD6" s="23"/>
      <c r="AE6" s="23"/>
      <c r="AF6" s="24"/>
      <c r="AG6" s="314" t="s">
        <v>19</v>
      </c>
    </row>
    <row r="7" ht="55.5" customHeight="1">
      <c r="A7" s="188"/>
      <c r="B7" s="189"/>
      <c r="C7" s="190"/>
      <c r="D7" s="217" t="s">
        <v>134</v>
      </c>
      <c r="E7" s="218" t="s">
        <v>135</v>
      </c>
      <c r="F7" s="219" t="s">
        <v>20</v>
      </c>
      <c r="G7" s="220" t="s">
        <v>134</v>
      </c>
      <c r="H7" s="221" t="s">
        <v>135</v>
      </c>
      <c r="I7" s="276" t="s">
        <v>20</v>
      </c>
      <c r="J7" s="223" t="s">
        <v>136</v>
      </c>
      <c r="K7" s="277" t="s">
        <v>54</v>
      </c>
      <c r="L7" s="278" t="s">
        <v>137</v>
      </c>
      <c r="M7" s="279" t="s">
        <v>138</v>
      </c>
      <c r="N7" s="280" t="s">
        <v>139</v>
      </c>
      <c r="O7" s="281" t="s">
        <v>20</v>
      </c>
      <c r="P7" s="282" t="s">
        <v>140</v>
      </c>
      <c r="Q7" s="283" t="s">
        <v>141</v>
      </c>
      <c r="R7" s="284" t="s">
        <v>142</v>
      </c>
      <c r="S7" s="284" t="s">
        <v>20</v>
      </c>
      <c r="T7" s="229" t="s">
        <v>143</v>
      </c>
      <c r="U7" s="230" t="s">
        <v>144</v>
      </c>
      <c r="V7" s="230" t="s">
        <v>145</v>
      </c>
      <c r="W7" s="285" t="s">
        <v>20</v>
      </c>
      <c r="X7" s="286" t="s">
        <v>146</v>
      </c>
      <c r="Y7" s="287" t="s">
        <v>147</v>
      </c>
      <c r="Z7" s="287" t="s">
        <v>148</v>
      </c>
      <c r="AA7" s="288" t="s">
        <v>149</v>
      </c>
      <c r="AB7" s="289" t="s">
        <v>20</v>
      </c>
      <c r="AC7" s="290" t="s">
        <v>150</v>
      </c>
      <c r="AD7" s="291" t="s">
        <v>151</v>
      </c>
      <c r="AE7" s="291" t="s">
        <v>152</v>
      </c>
      <c r="AF7" s="292" t="s">
        <v>20</v>
      </c>
      <c r="AG7" s="315"/>
    </row>
    <row r="8" ht="15.75" customHeight="1">
      <c r="A8" s="293">
        <v>1.0</v>
      </c>
      <c r="B8" s="118" t="s">
        <v>229</v>
      </c>
      <c r="C8" s="295" t="s">
        <v>44</v>
      </c>
      <c r="D8" s="119">
        <v>6.0</v>
      </c>
      <c r="E8" s="119">
        <v>6.0</v>
      </c>
      <c r="F8" s="296">
        <f t="shared" ref="F8:F17" si="1">SUM(D8:E8)/2</f>
        <v>6</v>
      </c>
      <c r="G8" s="119">
        <v>6.0</v>
      </c>
      <c r="H8" s="119">
        <v>6.0</v>
      </c>
      <c r="I8" s="297">
        <f t="shared" ref="I8:I24" si="2">SUM(G8:H8)/2</f>
        <v>6</v>
      </c>
      <c r="J8" s="121">
        <v>5.0</v>
      </c>
      <c r="K8" s="121">
        <v>5.0</v>
      </c>
      <c r="L8" s="121">
        <v>5.0</v>
      </c>
      <c r="M8" s="121">
        <v>5.0</v>
      </c>
      <c r="N8" s="121">
        <v>5.0</v>
      </c>
      <c r="O8" s="298">
        <f t="shared" ref="O8:O49" si="3">SUM(M8:N8)/2</f>
        <v>5</v>
      </c>
      <c r="P8" s="119">
        <v>6.0</v>
      </c>
      <c r="Q8" s="119">
        <v>6.0</v>
      </c>
      <c r="R8" s="119">
        <v>6.0</v>
      </c>
      <c r="S8" s="299">
        <f t="shared" ref="S8:S49" si="4">SUM(P8:R8)/3</f>
        <v>6</v>
      </c>
      <c r="T8" s="119">
        <v>5.0</v>
      </c>
      <c r="U8" s="119">
        <v>5.0</v>
      </c>
      <c r="V8" s="119">
        <v>5.0</v>
      </c>
      <c r="W8" s="300">
        <f t="shared" ref="W8:W49" si="5">SUM(T8:V8)/3</f>
        <v>5</v>
      </c>
      <c r="X8" s="119">
        <v>6.0</v>
      </c>
      <c r="Y8" s="119">
        <v>6.0</v>
      </c>
      <c r="Z8" s="119">
        <v>6.0</v>
      </c>
      <c r="AA8" s="119">
        <v>6.0</v>
      </c>
      <c r="AB8" s="301">
        <f t="shared" ref="AB8:AB49" si="6">SUM(X8:AA8)/4</f>
        <v>6</v>
      </c>
      <c r="AC8" s="316">
        <v>6.0</v>
      </c>
      <c r="AD8" s="316">
        <v>6.0</v>
      </c>
      <c r="AE8" s="316">
        <v>6.0</v>
      </c>
      <c r="AF8" s="303">
        <f t="shared" ref="AF8:AF49" si="7">SUM(AC8:AE8)/3</f>
        <v>6</v>
      </c>
      <c r="AG8" s="121">
        <f t="shared" ref="AG8:AG49" si="8">SUM(AF8,AB8,W8,S8,O8,L8,K8,J8,I8,F8)/10</f>
        <v>5.5</v>
      </c>
    </row>
    <row r="9" ht="15.75" customHeight="1">
      <c r="A9" s="142">
        <v>2.0</v>
      </c>
      <c r="B9" s="118" t="s">
        <v>230</v>
      </c>
      <c r="C9" s="65" t="s">
        <v>45</v>
      </c>
      <c r="D9" s="119">
        <v>4.0</v>
      </c>
      <c r="E9" s="119">
        <v>4.0</v>
      </c>
      <c r="F9" s="305">
        <f t="shared" si="1"/>
        <v>4</v>
      </c>
      <c r="G9" s="119">
        <v>4.0</v>
      </c>
      <c r="H9" s="119">
        <v>4.0</v>
      </c>
      <c r="I9" s="209">
        <f t="shared" si="2"/>
        <v>4</v>
      </c>
      <c r="J9" s="121">
        <v>3.0</v>
      </c>
      <c r="K9" s="121">
        <v>3.0</v>
      </c>
      <c r="L9" s="121">
        <v>3.0</v>
      </c>
      <c r="M9" s="121">
        <v>3.0</v>
      </c>
      <c r="N9" s="121">
        <v>3.0</v>
      </c>
      <c r="O9" s="306">
        <f t="shared" si="3"/>
        <v>3</v>
      </c>
      <c r="P9" s="119">
        <v>3.0</v>
      </c>
      <c r="Q9" s="119">
        <v>3.0</v>
      </c>
      <c r="R9" s="119">
        <v>3.0</v>
      </c>
      <c r="S9" s="307">
        <f t="shared" si="4"/>
        <v>3</v>
      </c>
      <c r="T9" s="119">
        <v>3.0</v>
      </c>
      <c r="U9" s="119">
        <v>3.0</v>
      </c>
      <c r="V9" s="119">
        <v>3.0</v>
      </c>
      <c r="W9" s="308">
        <f t="shared" si="5"/>
        <v>3</v>
      </c>
      <c r="X9" s="119">
        <v>4.0</v>
      </c>
      <c r="Y9" s="119">
        <v>4.0</v>
      </c>
      <c r="Z9" s="119">
        <v>4.0</v>
      </c>
      <c r="AA9" s="119">
        <v>4.0</v>
      </c>
      <c r="AB9" s="212">
        <f t="shared" si="6"/>
        <v>4</v>
      </c>
      <c r="AC9" s="316">
        <v>3.0</v>
      </c>
      <c r="AD9" s="316">
        <v>3.0</v>
      </c>
      <c r="AE9" s="316">
        <v>3.0</v>
      </c>
      <c r="AF9" s="309">
        <f t="shared" si="7"/>
        <v>3</v>
      </c>
      <c r="AG9" s="63">
        <f t="shared" si="8"/>
        <v>3.3</v>
      </c>
    </row>
    <row r="10" ht="15.75" customHeight="1">
      <c r="A10" s="142">
        <v>3.0</v>
      </c>
      <c r="B10" s="118" t="s">
        <v>231</v>
      </c>
      <c r="C10" s="65" t="s">
        <v>45</v>
      </c>
      <c r="D10" s="119">
        <v>5.0</v>
      </c>
      <c r="E10" s="119">
        <v>5.0</v>
      </c>
      <c r="F10" s="305">
        <f t="shared" si="1"/>
        <v>5</v>
      </c>
      <c r="G10" s="119">
        <v>5.0</v>
      </c>
      <c r="H10" s="119">
        <v>5.0</v>
      </c>
      <c r="I10" s="209">
        <f t="shared" si="2"/>
        <v>5</v>
      </c>
      <c r="J10" s="121">
        <v>5.0</v>
      </c>
      <c r="K10" s="121">
        <v>5.0</v>
      </c>
      <c r="L10" s="121">
        <v>4.0</v>
      </c>
      <c r="M10" s="121">
        <v>4.0</v>
      </c>
      <c r="N10" s="121">
        <v>4.0</v>
      </c>
      <c r="O10" s="306">
        <f t="shared" si="3"/>
        <v>4</v>
      </c>
      <c r="P10" s="119">
        <v>4.0</v>
      </c>
      <c r="Q10" s="119">
        <v>5.0</v>
      </c>
      <c r="R10" s="119">
        <v>5.0</v>
      </c>
      <c r="S10" s="307">
        <f t="shared" si="4"/>
        <v>4.666666667</v>
      </c>
      <c r="T10" s="119">
        <v>4.0</v>
      </c>
      <c r="U10" s="119">
        <v>4.0</v>
      </c>
      <c r="V10" s="119">
        <v>4.0</v>
      </c>
      <c r="W10" s="308">
        <f t="shared" si="5"/>
        <v>4</v>
      </c>
      <c r="X10" s="119">
        <v>5.0</v>
      </c>
      <c r="Y10" s="119">
        <v>5.0</v>
      </c>
      <c r="Z10" s="119">
        <v>5.0</v>
      </c>
      <c r="AA10" s="119">
        <v>5.0</v>
      </c>
      <c r="AB10" s="212">
        <f t="shared" si="6"/>
        <v>5</v>
      </c>
      <c r="AC10" s="316">
        <v>6.0</v>
      </c>
      <c r="AD10" s="316">
        <v>6.0</v>
      </c>
      <c r="AE10" s="316">
        <v>6.0</v>
      </c>
      <c r="AF10" s="309">
        <f t="shared" si="7"/>
        <v>6</v>
      </c>
      <c r="AG10" s="63">
        <f t="shared" si="8"/>
        <v>4.766666667</v>
      </c>
    </row>
    <row r="11" ht="15.75" customHeight="1">
      <c r="A11" s="142">
        <v>4.0</v>
      </c>
      <c r="B11" s="118" t="s">
        <v>232</v>
      </c>
      <c r="C11" s="65" t="s">
        <v>45</v>
      </c>
      <c r="D11" s="119">
        <v>3.0</v>
      </c>
      <c r="E11" s="119">
        <v>3.0</v>
      </c>
      <c r="F11" s="305">
        <f t="shared" si="1"/>
        <v>3</v>
      </c>
      <c r="G11" s="119">
        <v>3.0</v>
      </c>
      <c r="H11" s="119">
        <v>3.0</v>
      </c>
      <c r="I11" s="209">
        <f t="shared" si="2"/>
        <v>3</v>
      </c>
      <c r="J11" s="121">
        <v>3.0</v>
      </c>
      <c r="K11" s="121">
        <v>3.0</v>
      </c>
      <c r="L11" s="121">
        <v>3.0</v>
      </c>
      <c r="M11" s="121">
        <v>3.0</v>
      </c>
      <c r="N11" s="121">
        <v>3.0</v>
      </c>
      <c r="O11" s="306">
        <f t="shared" si="3"/>
        <v>3</v>
      </c>
      <c r="P11" s="119">
        <v>3.0</v>
      </c>
      <c r="Q11" s="119">
        <v>3.0</v>
      </c>
      <c r="R11" s="119">
        <v>3.0</v>
      </c>
      <c r="S11" s="307">
        <f t="shared" si="4"/>
        <v>3</v>
      </c>
      <c r="T11" s="119">
        <v>3.0</v>
      </c>
      <c r="U11" s="119">
        <v>3.0</v>
      </c>
      <c r="V11" s="119">
        <v>3.0</v>
      </c>
      <c r="W11" s="308">
        <f t="shared" si="5"/>
        <v>3</v>
      </c>
      <c r="X11" s="119">
        <v>4.0</v>
      </c>
      <c r="Y11" s="119">
        <v>4.0</v>
      </c>
      <c r="Z11" s="119">
        <v>4.0</v>
      </c>
      <c r="AA11" s="119">
        <v>4.0</v>
      </c>
      <c r="AB11" s="212">
        <f t="shared" si="6"/>
        <v>4</v>
      </c>
      <c r="AC11" s="316">
        <v>3.0</v>
      </c>
      <c r="AD11" s="316">
        <v>3.0</v>
      </c>
      <c r="AE11" s="316">
        <v>3.0</v>
      </c>
      <c r="AF11" s="309">
        <f t="shared" si="7"/>
        <v>3</v>
      </c>
      <c r="AG11" s="63">
        <f t="shared" si="8"/>
        <v>3.1</v>
      </c>
    </row>
    <row r="12" ht="15.75" customHeight="1">
      <c r="A12" s="142">
        <v>5.0</v>
      </c>
      <c r="B12" s="118" t="s">
        <v>233</v>
      </c>
      <c r="C12" s="65" t="s">
        <v>45</v>
      </c>
      <c r="D12" s="119">
        <v>6.0</v>
      </c>
      <c r="E12" s="119">
        <v>6.0</v>
      </c>
      <c r="F12" s="305">
        <f t="shared" si="1"/>
        <v>6</v>
      </c>
      <c r="G12" s="119">
        <v>4.0</v>
      </c>
      <c r="H12" s="119">
        <v>4.0</v>
      </c>
      <c r="I12" s="209">
        <f t="shared" si="2"/>
        <v>4</v>
      </c>
      <c r="J12" s="121">
        <v>5.0</v>
      </c>
      <c r="K12" s="121">
        <v>4.0</v>
      </c>
      <c r="L12" s="121">
        <v>5.0</v>
      </c>
      <c r="M12" s="121">
        <v>4.0</v>
      </c>
      <c r="N12" s="121">
        <v>5.0</v>
      </c>
      <c r="O12" s="306">
        <f t="shared" si="3"/>
        <v>4.5</v>
      </c>
      <c r="P12" s="119">
        <v>5.0</v>
      </c>
      <c r="Q12" s="119">
        <v>5.0</v>
      </c>
      <c r="R12" s="119">
        <v>5.0</v>
      </c>
      <c r="S12" s="307">
        <f t="shared" si="4"/>
        <v>5</v>
      </c>
      <c r="T12" s="119">
        <v>4.0</v>
      </c>
      <c r="U12" s="119">
        <v>4.0</v>
      </c>
      <c r="V12" s="119">
        <v>4.0</v>
      </c>
      <c r="W12" s="308">
        <f t="shared" si="5"/>
        <v>4</v>
      </c>
      <c r="X12" s="119">
        <v>6.0</v>
      </c>
      <c r="Y12" s="119">
        <v>6.0</v>
      </c>
      <c r="Z12" s="119">
        <v>6.0</v>
      </c>
      <c r="AA12" s="119">
        <v>6.0</v>
      </c>
      <c r="AB12" s="212">
        <f t="shared" si="6"/>
        <v>6</v>
      </c>
      <c r="AC12" s="316">
        <v>6.0</v>
      </c>
      <c r="AD12" s="316">
        <v>6.0</v>
      </c>
      <c r="AE12" s="316">
        <v>6.0</v>
      </c>
      <c r="AF12" s="309">
        <f t="shared" si="7"/>
        <v>6</v>
      </c>
      <c r="AG12" s="63">
        <f t="shared" si="8"/>
        <v>4.95</v>
      </c>
    </row>
    <row r="13" ht="15.75" customHeight="1">
      <c r="A13" s="142">
        <v>6.0</v>
      </c>
      <c r="B13" s="118" t="s">
        <v>234</v>
      </c>
      <c r="C13" s="65" t="s">
        <v>45</v>
      </c>
      <c r="D13" s="119">
        <v>4.0</v>
      </c>
      <c r="E13" s="119">
        <v>4.0</v>
      </c>
      <c r="F13" s="305">
        <f t="shared" si="1"/>
        <v>4</v>
      </c>
      <c r="G13" s="119">
        <v>4.0</v>
      </c>
      <c r="H13" s="119">
        <v>4.0</v>
      </c>
      <c r="I13" s="209">
        <f t="shared" si="2"/>
        <v>4</v>
      </c>
      <c r="J13" s="121">
        <v>3.0</v>
      </c>
      <c r="K13" s="121">
        <v>3.0</v>
      </c>
      <c r="L13" s="121">
        <v>3.0</v>
      </c>
      <c r="M13" s="121">
        <v>3.0</v>
      </c>
      <c r="N13" s="121">
        <v>3.0</v>
      </c>
      <c r="O13" s="306">
        <f t="shared" si="3"/>
        <v>3</v>
      </c>
      <c r="P13" s="119">
        <v>3.0</v>
      </c>
      <c r="Q13" s="119">
        <v>4.0</v>
      </c>
      <c r="R13" s="119">
        <v>3.0</v>
      </c>
      <c r="S13" s="307">
        <f t="shared" si="4"/>
        <v>3.333333333</v>
      </c>
      <c r="T13" s="119">
        <v>3.0</v>
      </c>
      <c r="U13" s="119">
        <v>3.0</v>
      </c>
      <c r="V13" s="119">
        <v>3.0</v>
      </c>
      <c r="W13" s="308">
        <f t="shared" si="5"/>
        <v>3</v>
      </c>
      <c r="X13" s="119">
        <v>4.0</v>
      </c>
      <c r="Y13" s="119">
        <v>4.0</v>
      </c>
      <c r="Z13" s="119">
        <v>4.0</v>
      </c>
      <c r="AA13" s="119">
        <v>4.0</v>
      </c>
      <c r="AB13" s="212">
        <f t="shared" si="6"/>
        <v>4</v>
      </c>
      <c r="AC13" s="316">
        <v>3.0</v>
      </c>
      <c r="AD13" s="316">
        <v>3.0</v>
      </c>
      <c r="AE13" s="316">
        <v>3.0</v>
      </c>
      <c r="AF13" s="309">
        <f t="shared" si="7"/>
        <v>3</v>
      </c>
      <c r="AG13" s="63">
        <f t="shared" si="8"/>
        <v>3.333333333</v>
      </c>
    </row>
    <row r="14" ht="15.75" customHeight="1">
      <c r="A14" s="142">
        <v>7.0</v>
      </c>
      <c r="B14" s="118" t="s">
        <v>235</v>
      </c>
      <c r="C14" s="65" t="s">
        <v>45</v>
      </c>
      <c r="D14" s="119">
        <v>5.0</v>
      </c>
      <c r="E14" s="119">
        <v>5.0</v>
      </c>
      <c r="F14" s="305">
        <f t="shared" si="1"/>
        <v>5</v>
      </c>
      <c r="G14" s="119">
        <v>5.0</v>
      </c>
      <c r="H14" s="119">
        <v>5.0</v>
      </c>
      <c r="I14" s="209">
        <f t="shared" si="2"/>
        <v>5</v>
      </c>
      <c r="J14" s="121">
        <v>5.0</v>
      </c>
      <c r="K14" s="121">
        <v>5.0</v>
      </c>
      <c r="L14" s="121">
        <v>5.0</v>
      </c>
      <c r="M14" s="121">
        <v>5.0</v>
      </c>
      <c r="N14" s="121">
        <v>4.0</v>
      </c>
      <c r="O14" s="306">
        <f t="shared" si="3"/>
        <v>4.5</v>
      </c>
      <c r="P14" s="119">
        <v>5.0</v>
      </c>
      <c r="Q14" s="119">
        <v>5.0</v>
      </c>
      <c r="R14" s="119">
        <v>5.0</v>
      </c>
      <c r="S14" s="307">
        <f t="shared" si="4"/>
        <v>5</v>
      </c>
      <c r="T14" s="119">
        <v>4.0</v>
      </c>
      <c r="U14" s="119">
        <v>4.0</v>
      </c>
      <c r="V14" s="119">
        <v>4.0</v>
      </c>
      <c r="W14" s="308">
        <f t="shared" si="5"/>
        <v>4</v>
      </c>
      <c r="X14" s="119">
        <v>5.0</v>
      </c>
      <c r="Y14" s="119">
        <v>5.0</v>
      </c>
      <c r="Z14" s="119">
        <v>5.0</v>
      </c>
      <c r="AA14" s="119">
        <v>5.0</v>
      </c>
      <c r="AB14" s="212">
        <f t="shared" si="6"/>
        <v>5</v>
      </c>
      <c r="AC14" s="316">
        <v>6.0</v>
      </c>
      <c r="AD14" s="316">
        <v>6.0</v>
      </c>
      <c r="AE14" s="316">
        <v>6.0</v>
      </c>
      <c r="AF14" s="309">
        <f t="shared" si="7"/>
        <v>6</v>
      </c>
      <c r="AG14" s="63">
        <f t="shared" si="8"/>
        <v>4.95</v>
      </c>
    </row>
    <row r="15" ht="15.75" customHeight="1">
      <c r="A15" s="142">
        <v>8.0</v>
      </c>
      <c r="B15" s="118" t="s">
        <v>236</v>
      </c>
      <c r="C15" s="65" t="s">
        <v>45</v>
      </c>
      <c r="D15" s="119">
        <v>5.0</v>
      </c>
      <c r="E15" s="119">
        <v>5.0</v>
      </c>
      <c r="F15" s="305">
        <f t="shared" si="1"/>
        <v>5</v>
      </c>
      <c r="G15" s="119">
        <v>4.0</v>
      </c>
      <c r="H15" s="119">
        <v>4.0</v>
      </c>
      <c r="I15" s="209">
        <f t="shared" si="2"/>
        <v>4</v>
      </c>
      <c r="J15" s="121">
        <v>4.0</v>
      </c>
      <c r="K15" s="121">
        <v>4.0</v>
      </c>
      <c r="L15" s="121">
        <v>4.0</v>
      </c>
      <c r="M15" s="121">
        <v>4.0</v>
      </c>
      <c r="N15" s="121">
        <v>4.0</v>
      </c>
      <c r="O15" s="306">
        <f t="shared" si="3"/>
        <v>4</v>
      </c>
      <c r="P15" s="119">
        <v>4.0</v>
      </c>
      <c r="Q15" s="119">
        <v>4.0</v>
      </c>
      <c r="R15" s="119">
        <v>4.0</v>
      </c>
      <c r="S15" s="307">
        <f t="shared" si="4"/>
        <v>4</v>
      </c>
      <c r="T15" s="119">
        <v>4.0</v>
      </c>
      <c r="U15" s="119">
        <v>4.0</v>
      </c>
      <c r="V15" s="119">
        <v>4.0</v>
      </c>
      <c r="W15" s="308">
        <f t="shared" si="5"/>
        <v>4</v>
      </c>
      <c r="X15" s="119">
        <v>5.0</v>
      </c>
      <c r="Y15" s="119">
        <v>5.0</v>
      </c>
      <c r="Z15" s="119">
        <v>5.0</v>
      </c>
      <c r="AA15" s="119">
        <v>5.0</v>
      </c>
      <c r="AB15" s="212">
        <f t="shared" si="6"/>
        <v>5</v>
      </c>
      <c r="AC15" s="316">
        <v>4.0</v>
      </c>
      <c r="AD15" s="316">
        <v>4.0</v>
      </c>
      <c r="AE15" s="316">
        <v>4.0</v>
      </c>
      <c r="AF15" s="309">
        <f t="shared" si="7"/>
        <v>4</v>
      </c>
      <c r="AG15" s="63">
        <f t="shared" si="8"/>
        <v>4.2</v>
      </c>
    </row>
    <row r="16" ht="15.75" customHeight="1">
      <c r="A16" s="142">
        <v>9.0</v>
      </c>
      <c r="B16" s="118" t="s">
        <v>237</v>
      </c>
      <c r="C16" s="65" t="s">
        <v>45</v>
      </c>
      <c r="D16" s="119">
        <v>4.0</v>
      </c>
      <c r="E16" s="119">
        <v>4.0</v>
      </c>
      <c r="F16" s="305">
        <f t="shared" si="1"/>
        <v>4</v>
      </c>
      <c r="G16" s="119">
        <v>4.0</v>
      </c>
      <c r="H16" s="119">
        <v>4.0</v>
      </c>
      <c r="I16" s="209">
        <f t="shared" si="2"/>
        <v>4</v>
      </c>
      <c r="J16" s="121">
        <v>4.0</v>
      </c>
      <c r="K16" s="121">
        <v>4.0</v>
      </c>
      <c r="L16" s="121">
        <v>4.0</v>
      </c>
      <c r="M16" s="121">
        <v>4.0</v>
      </c>
      <c r="N16" s="121">
        <v>4.0</v>
      </c>
      <c r="O16" s="306">
        <f t="shared" si="3"/>
        <v>4</v>
      </c>
      <c r="P16" s="119">
        <v>3.0</v>
      </c>
      <c r="Q16" s="119">
        <v>3.0</v>
      </c>
      <c r="R16" s="119">
        <v>3.0</v>
      </c>
      <c r="S16" s="307">
        <f t="shared" si="4"/>
        <v>3</v>
      </c>
      <c r="T16" s="119">
        <v>4.0</v>
      </c>
      <c r="U16" s="119">
        <v>4.0</v>
      </c>
      <c r="V16" s="119">
        <v>4.0</v>
      </c>
      <c r="W16" s="308">
        <f t="shared" si="5"/>
        <v>4</v>
      </c>
      <c r="X16" s="119">
        <v>5.0</v>
      </c>
      <c r="Y16" s="119">
        <v>5.0</v>
      </c>
      <c r="Z16" s="119">
        <v>5.0</v>
      </c>
      <c r="AA16" s="119">
        <v>5.0</v>
      </c>
      <c r="AB16" s="212">
        <f t="shared" si="6"/>
        <v>5</v>
      </c>
      <c r="AC16" s="316">
        <v>4.0</v>
      </c>
      <c r="AD16" s="316">
        <v>4.0</v>
      </c>
      <c r="AE16" s="316">
        <v>4.0</v>
      </c>
      <c r="AF16" s="309">
        <f t="shared" si="7"/>
        <v>4</v>
      </c>
      <c r="AG16" s="63">
        <f t="shared" si="8"/>
        <v>4</v>
      </c>
    </row>
    <row r="17" ht="15.75" customHeight="1">
      <c r="A17" s="142">
        <v>10.0</v>
      </c>
      <c r="B17" s="118" t="s">
        <v>238</v>
      </c>
      <c r="C17" s="65" t="s">
        <v>44</v>
      </c>
      <c r="D17" s="119">
        <v>4.0</v>
      </c>
      <c r="E17" s="119">
        <v>4.0</v>
      </c>
      <c r="F17" s="305">
        <f t="shared" si="1"/>
        <v>4</v>
      </c>
      <c r="G17" s="119">
        <v>4.0</v>
      </c>
      <c r="H17" s="119">
        <v>4.0</v>
      </c>
      <c r="I17" s="209">
        <f t="shared" si="2"/>
        <v>4</v>
      </c>
      <c r="J17" s="121">
        <v>4.0</v>
      </c>
      <c r="K17" s="121">
        <v>4.0</v>
      </c>
      <c r="L17" s="121">
        <v>4.0</v>
      </c>
      <c r="M17" s="121">
        <v>4.0</v>
      </c>
      <c r="N17" s="121">
        <v>3.0</v>
      </c>
      <c r="O17" s="306">
        <f t="shared" si="3"/>
        <v>3.5</v>
      </c>
      <c r="P17" s="119">
        <v>3.0</v>
      </c>
      <c r="Q17" s="119">
        <v>3.0</v>
      </c>
      <c r="R17" s="119">
        <v>3.0</v>
      </c>
      <c r="S17" s="307">
        <f t="shared" si="4"/>
        <v>3</v>
      </c>
      <c r="T17" s="119">
        <v>3.0</v>
      </c>
      <c r="U17" s="119">
        <v>3.0</v>
      </c>
      <c r="V17" s="119">
        <v>3.0</v>
      </c>
      <c r="W17" s="308">
        <f t="shared" si="5"/>
        <v>3</v>
      </c>
      <c r="X17" s="119">
        <v>4.0</v>
      </c>
      <c r="Y17" s="119">
        <v>4.0</v>
      </c>
      <c r="Z17" s="119">
        <v>4.0</v>
      </c>
      <c r="AA17" s="119">
        <v>4.0</v>
      </c>
      <c r="AB17" s="212">
        <f t="shared" si="6"/>
        <v>4</v>
      </c>
      <c r="AC17" s="316">
        <v>3.0</v>
      </c>
      <c r="AD17" s="316">
        <v>3.0</v>
      </c>
      <c r="AE17" s="316">
        <v>3.0</v>
      </c>
      <c r="AF17" s="309">
        <f t="shared" si="7"/>
        <v>3</v>
      </c>
      <c r="AG17" s="63">
        <f t="shared" si="8"/>
        <v>3.65</v>
      </c>
    </row>
    <row r="18" ht="15.75" customHeight="1">
      <c r="A18" s="142">
        <v>11.0</v>
      </c>
      <c r="B18" s="118" t="s">
        <v>239</v>
      </c>
      <c r="C18" s="65" t="s">
        <v>44</v>
      </c>
      <c r="D18" s="119">
        <v>5.0</v>
      </c>
      <c r="E18" s="119">
        <v>5.0</v>
      </c>
      <c r="F18" s="305">
        <v>5.0</v>
      </c>
      <c r="G18" s="119">
        <v>5.0</v>
      </c>
      <c r="H18" s="119">
        <v>5.0</v>
      </c>
      <c r="I18" s="209">
        <f t="shared" si="2"/>
        <v>5</v>
      </c>
      <c r="J18" s="121">
        <v>5.0</v>
      </c>
      <c r="K18" s="121">
        <v>4.0</v>
      </c>
      <c r="L18" s="121">
        <v>5.0</v>
      </c>
      <c r="M18" s="121">
        <v>4.0</v>
      </c>
      <c r="N18" s="121">
        <v>4.0</v>
      </c>
      <c r="O18" s="306">
        <f t="shared" si="3"/>
        <v>4</v>
      </c>
      <c r="P18" s="119">
        <v>4.0</v>
      </c>
      <c r="Q18" s="119">
        <v>5.0</v>
      </c>
      <c r="R18" s="119">
        <v>4.0</v>
      </c>
      <c r="S18" s="307">
        <f t="shared" si="4"/>
        <v>4.333333333</v>
      </c>
      <c r="T18" s="119">
        <v>4.0</v>
      </c>
      <c r="U18" s="119">
        <v>4.0</v>
      </c>
      <c r="V18" s="119">
        <v>4.0</v>
      </c>
      <c r="W18" s="308">
        <f t="shared" si="5"/>
        <v>4</v>
      </c>
      <c r="X18" s="119">
        <v>5.0</v>
      </c>
      <c r="Y18" s="119">
        <v>5.0</v>
      </c>
      <c r="Z18" s="119">
        <v>5.0</v>
      </c>
      <c r="AA18" s="119">
        <v>5.0</v>
      </c>
      <c r="AB18" s="212">
        <f t="shared" si="6"/>
        <v>5</v>
      </c>
      <c r="AC18" s="316">
        <v>5.0</v>
      </c>
      <c r="AD18" s="316">
        <v>5.0</v>
      </c>
      <c r="AE18" s="316">
        <v>4.0</v>
      </c>
      <c r="AF18" s="309">
        <f t="shared" si="7"/>
        <v>4.666666667</v>
      </c>
      <c r="AG18" s="63">
        <f t="shared" si="8"/>
        <v>4.6</v>
      </c>
    </row>
    <row r="19" ht="15.75" customHeight="1">
      <c r="A19" s="142">
        <v>12.0</v>
      </c>
      <c r="B19" s="118" t="s">
        <v>240</v>
      </c>
      <c r="C19" s="65" t="s">
        <v>44</v>
      </c>
      <c r="D19" s="119">
        <v>4.0</v>
      </c>
      <c r="E19" s="119">
        <v>4.0</v>
      </c>
      <c r="F19" s="305">
        <f t="shared" ref="F19:F22" si="9">SUM(D19:E19)/2</f>
        <v>4</v>
      </c>
      <c r="G19" s="119">
        <v>4.0</v>
      </c>
      <c r="H19" s="119">
        <v>4.0</v>
      </c>
      <c r="I19" s="209">
        <f t="shared" si="2"/>
        <v>4</v>
      </c>
      <c r="J19" s="121">
        <v>4.0</v>
      </c>
      <c r="K19" s="121">
        <v>3.0</v>
      </c>
      <c r="L19" s="121">
        <v>3.0</v>
      </c>
      <c r="M19" s="121">
        <v>3.0</v>
      </c>
      <c r="N19" s="121">
        <v>3.0</v>
      </c>
      <c r="O19" s="306">
        <f t="shared" si="3"/>
        <v>3</v>
      </c>
      <c r="P19" s="119">
        <v>3.0</v>
      </c>
      <c r="Q19" s="119">
        <v>3.0</v>
      </c>
      <c r="R19" s="119">
        <v>3.0</v>
      </c>
      <c r="S19" s="307">
        <f t="shared" si="4"/>
        <v>3</v>
      </c>
      <c r="T19" s="119">
        <v>3.0</v>
      </c>
      <c r="U19" s="119">
        <v>3.0</v>
      </c>
      <c r="V19" s="119">
        <v>3.0</v>
      </c>
      <c r="W19" s="308">
        <f t="shared" si="5"/>
        <v>3</v>
      </c>
      <c r="X19" s="119">
        <v>3.0</v>
      </c>
      <c r="Y19" s="119">
        <v>3.0</v>
      </c>
      <c r="Z19" s="119">
        <v>3.0</v>
      </c>
      <c r="AA19" s="119">
        <v>3.0</v>
      </c>
      <c r="AB19" s="212">
        <f t="shared" si="6"/>
        <v>3</v>
      </c>
      <c r="AC19" s="316">
        <v>3.0</v>
      </c>
      <c r="AD19" s="316">
        <v>3.0</v>
      </c>
      <c r="AE19" s="316">
        <v>3.0</v>
      </c>
      <c r="AF19" s="309">
        <f t="shared" si="7"/>
        <v>3</v>
      </c>
      <c r="AG19" s="63">
        <f t="shared" si="8"/>
        <v>3.3</v>
      </c>
    </row>
    <row r="20" ht="15.75" customHeight="1">
      <c r="A20" s="142">
        <v>13.0</v>
      </c>
      <c r="B20" s="118" t="s">
        <v>241</v>
      </c>
      <c r="C20" s="65" t="s">
        <v>44</v>
      </c>
      <c r="D20" s="119">
        <v>4.0</v>
      </c>
      <c r="E20" s="119">
        <v>4.0</v>
      </c>
      <c r="F20" s="305">
        <f t="shared" si="9"/>
        <v>4</v>
      </c>
      <c r="G20" s="119">
        <v>4.0</v>
      </c>
      <c r="H20" s="119">
        <v>4.0</v>
      </c>
      <c r="I20" s="209">
        <f t="shared" si="2"/>
        <v>4</v>
      </c>
      <c r="J20" s="121">
        <v>4.0</v>
      </c>
      <c r="K20" s="121">
        <v>4.0</v>
      </c>
      <c r="L20" s="121">
        <v>4.0</v>
      </c>
      <c r="M20" s="121">
        <v>4.0</v>
      </c>
      <c r="N20" s="121">
        <v>4.0</v>
      </c>
      <c r="O20" s="306">
        <f t="shared" si="3"/>
        <v>4</v>
      </c>
      <c r="P20" s="119">
        <v>4.0</v>
      </c>
      <c r="Q20" s="119">
        <v>4.0</v>
      </c>
      <c r="R20" s="119">
        <v>4.0</v>
      </c>
      <c r="S20" s="307">
        <f t="shared" si="4"/>
        <v>4</v>
      </c>
      <c r="T20" s="119">
        <v>4.0</v>
      </c>
      <c r="U20" s="119">
        <v>4.0</v>
      </c>
      <c r="V20" s="119">
        <v>4.0</v>
      </c>
      <c r="W20" s="308">
        <f t="shared" si="5"/>
        <v>4</v>
      </c>
      <c r="X20" s="119">
        <v>5.0</v>
      </c>
      <c r="Y20" s="119">
        <v>5.0</v>
      </c>
      <c r="Z20" s="119">
        <v>5.0</v>
      </c>
      <c r="AA20" s="119">
        <v>5.0</v>
      </c>
      <c r="AB20" s="212">
        <f t="shared" si="6"/>
        <v>5</v>
      </c>
      <c r="AC20" s="316">
        <v>4.0</v>
      </c>
      <c r="AD20" s="316">
        <v>4.0</v>
      </c>
      <c r="AE20" s="316">
        <v>4.0</v>
      </c>
      <c r="AF20" s="309">
        <f t="shared" si="7"/>
        <v>4</v>
      </c>
      <c r="AG20" s="63">
        <f t="shared" si="8"/>
        <v>4.1</v>
      </c>
    </row>
    <row r="21" ht="15.75" customHeight="1">
      <c r="A21" s="142">
        <v>14.0</v>
      </c>
      <c r="B21" s="118" t="s">
        <v>242</v>
      </c>
      <c r="C21" s="65" t="s">
        <v>44</v>
      </c>
      <c r="D21" s="119">
        <v>4.0</v>
      </c>
      <c r="E21" s="119">
        <v>4.0</v>
      </c>
      <c r="F21" s="305">
        <f t="shared" si="9"/>
        <v>4</v>
      </c>
      <c r="G21" s="119">
        <v>4.0</v>
      </c>
      <c r="H21" s="119">
        <v>4.0</v>
      </c>
      <c r="I21" s="209">
        <f t="shared" si="2"/>
        <v>4</v>
      </c>
      <c r="J21" s="121">
        <v>4.0</v>
      </c>
      <c r="K21" s="121">
        <v>4.0</v>
      </c>
      <c r="L21" s="121">
        <v>4.0</v>
      </c>
      <c r="M21" s="121">
        <v>4.0</v>
      </c>
      <c r="N21" s="121">
        <v>4.0</v>
      </c>
      <c r="O21" s="306">
        <f t="shared" si="3"/>
        <v>4</v>
      </c>
      <c r="P21" s="119">
        <v>3.0</v>
      </c>
      <c r="Q21" s="119">
        <v>3.0</v>
      </c>
      <c r="R21" s="119">
        <v>3.0</v>
      </c>
      <c r="S21" s="307">
        <f t="shared" si="4"/>
        <v>3</v>
      </c>
      <c r="T21" s="119">
        <v>3.0</v>
      </c>
      <c r="U21" s="119">
        <v>3.0</v>
      </c>
      <c r="V21" s="119">
        <v>3.0</v>
      </c>
      <c r="W21" s="308">
        <f t="shared" si="5"/>
        <v>3</v>
      </c>
      <c r="X21" s="119">
        <v>4.0</v>
      </c>
      <c r="Y21" s="119">
        <v>4.0</v>
      </c>
      <c r="Z21" s="119">
        <v>5.0</v>
      </c>
      <c r="AA21" s="119">
        <v>4.0</v>
      </c>
      <c r="AB21" s="212">
        <f t="shared" si="6"/>
        <v>4.25</v>
      </c>
      <c r="AC21" s="316">
        <v>4.0</v>
      </c>
      <c r="AD21" s="316">
        <v>4.0</v>
      </c>
      <c r="AE21" s="316">
        <v>4.0</v>
      </c>
      <c r="AF21" s="309">
        <f t="shared" si="7"/>
        <v>4</v>
      </c>
      <c r="AG21" s="63">
        <f t="shared" si="8"/>
        <v>3.825</v>
      </c>
    </row>
    <row r="22" ht="15.75" customHeight="1">
      <c r="A22" s="142">
        <v>15.0</v>
      </c>
      <c r="B22" s="118" t="s">
        <v>243</v>
      </c>
      <c r="C22" s="65" t="s">
        <v>44</v>
      </c>
      <c r="D22" s="119">
        <v>4.0</v>
      </c>
      <c r="E22" s="119">
        <v>4.0</v>
      </c>
      <c r="F22" s="305">
        <f t="shared" si="9"/>
        <v>4</v>
      </c>
      <c r="G22" s="119">
        <v>4.0</v>
      </c>
      <c r="H22" s="119">
        <v>4.0</v>
      </c>
      <c r="I22" s="209">
        <f t="shared" si="2"/>
        <v>4</v>
      </c>
      <c r="J22" s="121">
        <v>4.0</v>
      </c>
      <c r="K22" s="121">
        <v>3.0</v>
      </c>
      <c r="L22" s="121">
        <v>4.0</v>
      </c>
      <c r="M22" s="121">
        <v>3.0</v>
      </c>
      <c r="N22" s="121">
        <v>3.0</v>
      </c>
      <c r="O22" s="306">
        <f t="shared" si="3"/>
        <v>3</v>
      </c>
      <c r="P22" s="119">
        <v>4.0</v>
      </c>
      <c r="Q22" s="119">
        <v>4.0</v>
      </c>
      <c r="R22" s="119">
        <v>4.0</v>
      </c>
      <c r="S22" s="307">
        <f t="shared" si="4"/>
        <v>4</v>
      </c>
      <c r="T22" s="119">
        <v>3.0</v>
      </c>
      <c r="U22" s="119">
        <v>3.0</v>
      </c>
      <c r="V22" s="119">
        <v>3.0</v>
      </c>
      <c r="W22" s="308">
        <f t="shared" si="5"/>
        <v>3</v>
      </c>
      <c r="X22" s="119">
        <v>4.0</v>
      </c>
      <c r="Y22" s="119">
        <v>4.0</v>
      </c>
      <c r="Z22" s="119">
        <v>4.0</v>
      </c>
      <c r="AA22" s="119">
        <v>4.0</v>
      </c>
      <c r="AB22" s="212">
        <f t="shared" si="6"/>
        <v>4</v>
      </c>
      <c r="AC22" s="316">
        <v>3.0</v>
      </c>
      <c r="AD22" s="316">
        <v>3.0</v>
      </c>
      <c r="AE22" s="316">
        <v>3.0</v>
      </c>
      <c r="AF22" s="309">
        <f t="shared" si="7"/>
        <v>3</v>
      </c>
      <c r="AG22" s="63">
        <f t="shared" si="8"/>
        <v>3.6</v>
      </c>
    </row>
    <row r="23" ht="15.75" customHeight="1">
      <c r="A23" s="142">
        <v>16.0</v>
      </c>
      <c r="B23" s="118" t="s">
        <v>244</v>
      </c>
      <c r="C23" s="65" t="s">
        <v>44</v>
      </c>
      <c r="D23" s="119">
        <v>5.0</v>
      </c>
      <c r="E23" s="119">
        <v>5.0</v>
      </c>
      <c r="F23" s="305">
        <v>5.0</v>
      </c>
      <c r="G23" s="119">
        <v>5.0</v>
      </c>
      <c r="H23" s="119">
        <v>4.0</v>
      </c>
      <c r="I23" s="209">
        <f t="shared" si="2"/>
        <v>4.5</v>
      </c>
      <c r="J23" s="121">
        <v>5.0</v>
      </c>
      <c r="K23" s="121">
        <v>5.0</v>
      </c>
      <c r="L23" s="121">
        <v>4.0</v>
      </c>
      <c r="M23" s="121">
        <v>4.0</v>
      </c>
      <c r="N23" s="121">
        <v>4.0</v>
      </c>
      <c r="O23" s="306">
        <f t="shared" si="3"/>
        <v>4</v>
      </c>
      <c r="P23" s="119">
        <v>5.0</v>
      </c>
      <c r="Q23" s="119">
        <v>5.0</v>
      </c>
      <c r="R23" s="119">
        <v>5.0</v>
      </c>
      <c r="S23" s="307">
        <f t="shared" si="4"/>
        <v>5</v>
      </c>
      <c r="T23" s="119">
        <v>4.0</v>
      </c>
      <c r="U23" s="119">
        <v>4.0</v>
      </c>
      <c r="V23" s="119">
        <v>4.0</v>
      </c>
      <c r="W23" s="308">
        <f t="shared" si="5"/>
        <v>4</v>
      </c>
      <c r="X23" s="119">
        <v>5.0</v>
      </c>
      <c r="Y23" s="119">
        <v>5.0</v>
      </c>
      <c r="Z23" s="119">
        <v>5.0</v>
      </c>
      <c r="AA23" s="119">
        <v>5.0</v>
      </c>
      <c r="AB23" s="212">
        <f t="shared" si="6"/>
        <v>5</v>
      </c>
      <c r="AC23" s="316">
        <v>4.0</v>
      </c>
      <c r="AD23" s="316">
        <v>4.0</v>
      </c>
      <c r="AE23" s="316">
        <v>4.0</v>
      </c>
      <c r="AF23" s="309">
        <f t="shared" si="7"/>
        <v>4</v>
      </c>
      <c r="AG23" s="63">
        <f t="shared" si="8"/>
        <v>4.55</v>
      </c>
    </row>
    <row r="24" ht="15.75" customHeight="1">
      <c r="A24" s="142">
        <v>17.0</v>
      </c>
      <c r="B24" s="118" t="s">
        <v>245</v>
      </c>
      <c r="C24" s="65" t="s">
        <v>44</v>
      </c>
      <c r="D24" s="119">
        <v>4.0</v>
      </c>
      <c r="E24" s="119">
        <v>4.0</v>
      </c>
      <c r="F24" s="305">
        <f t="shared" ref="F24:F26" si="10">SUM(D24:E24)/2</f>
        <v>4</v>
      </c>
      <c r="G24" s="119">
        <v>4.0</v>
      </c>
      <c r="H24" s="119">
        <v>4.0</v>
      </c>
      <c r="I24" s="209">
        <f t="shared" si="2"/>
        <v>4</v>
      </c>
      <c r="J24" s="121">
        <v>4.0</v>
      </c>
      <c r="K24" s="121">
        <v>4.0</v>
      </c>
      <c r="L24" s="121">
        <v>4.0</v>
      </c>
      <c r="M24" s="121">
        <v>3.0</v>
      </c>
      <c r="N24" s="121">
        <v>3.0</v>
      </c>
      <c r="O24" s="306">
        <f t="shared" si="3"/>
        <v>3</v>
      </c>
      <c r="P24" s="119">
        <v>4.0</v>
      </c>
      <c r="Q24" s="119">
        <v>4.0</v>
      </c>
      <c r="R24" s="119">
        <v>4.0</v>
      </c>
      <c r="S24" s="307">
        <f t="shared" si="4"/>
        <v>4</v>
      </c>
      <c r="T24" s="119">
        <v>3.0</v>
      </c>
      <c r="U24" s="119">
        <v>3.0</v>
      </c>
      <c r="V24" s="119">
        <v>3.0</v>
      </c>
      <c r="W24" s="308">
        <f t="shared" si="5"/>
        <v>3</v>
      </c>
      <c r="X24" s="119">
        <v>5.0</v>
      </c>
      <c r="Y24" s="119">
        <v>5.0</v>
      </c>
      <c r="Z24" s="119">
        <v>5.0</v>
      </c>
      <c r="AA24" s="119">
        <v>5.0</v>
      </c>
      <c r="AB24" s="212">
        <f t="shared" si="6"/>
        <v>5</v>
      </c>
      <c r="AC24" s="316">
        <v>4.0</v>
      </c>
      <c r="AD24" s="316">
        <v>4.0</v>
      </c>
      <c r="AE24" s="316">
        <v>4.0</v>
      </c>
      <c r="AF24" s="309">
        <f t="shared" si="7"/>
        <v>4</v>
      </c>
      <c r="AG24" s="63">
        <f t="shared" si="8"/>
        <v>3.9</v>
      </c>
    </row>
    <row r="25" ht="15.75" customHeight="1">
      <c r="A25" s="142">
        <v>18.0</v>
      </c>
      <c r="B25" s="118" t="s">
        <v>246</v>
      </c>
      <c r="C25" s="65" t="s">
        <v>44</v>
      </c>
      <c r="D25" s="119">
        <v>3.0</v>
      </c>
      <c r="E25" s="119">
        <v>3.0</v>
      </c>
      <c r="F25" s="305">
        <f t="shared" si="10"/>
        <v>3</v>
      </c>
      <c r="G25" s="119">
        <v>3.0</v>
      </c>
      <c r="H25" s="119">
        <v>3.0</v>
      </c>
      <c r="I25" s="209">
        <v>3.0</v>
      </c>
      <c r="J25" s="121">
        <v>3.0</v>
      </c>
      <c r="K25" s="121">
        <v>3.0</v>
      </c>
      <c r="L25" s="121">
        <v>3.0</v>
      </c>
      <c r="M25" s="121">
        <v>3.0</v>
      </c>
      <c r="N25" s="121">
        <v>3.0</v>
      </c>
      <c r="O25" s="306">
        <f t="shared" si="3"/>
        <v>3</v>
      </c>
      <c r="P25" s="121">
        <v>3.0</v>
      </c>
      <c r="Q25" s="121">
        <v>3.0</v>
      </c>
      <c r="R25" s="121">
        <v>3.0</v>
      </c>
      <c r="S25" s="307">
        <f t="shared" si="4"/>
        <v>3</v>
      </c>
      <c r="T25" s="121">
        <v>3.0</v>
      </c>
      <c r="U25" s="121">
        <v>3.0</v>
      </c>
      <c r="V25" s="121">
        <v>3.0</v>
      </c>
      <c r="W25" s="308">
        <f t="shared" si="5"/>
        <v>3</v>
      </c>
      <c r="X25" s="121">
        <v>3.0</v>
      </c>
      <c r="Y25" s="121">
        <v>3.0</v>
      </c>
      <c r="Z25" s="121">
        <v>3.0</v>
      </c>
      <c r="AA25" s="121">
        <v>3.0</v>
      </c>
      <c r="AB25" s="212">
        <f t="shared" si="6"/>
        <v>3</v>
      </c>
      <c r="AC25" s="121">
        <v>3.0</v>
      </c>
      <c r="AD25" s="121">
        <v>3.0</v>
      </c>
      <c r="AE25" s="121">
        <v>3.0</v>
      </c>
      <c r="AF25" s="309">
        <f t="shared" si="7"/>
        <v>3</v>
      </c>
      <c r="AG25" s="63">
        <f t="shared" si="8"/>
        <v>3</v>
      </c>
    </row>
    <row r="26" ht="15.75" customHeight="1">
      <c r="A26" s="142">
        <v>19.0</v>
      </c>
      <c r="B26" s="118" t="s">
        <v>247</v>
      </c>
      <c r="C26" s="65" t="s">
        <v>44</v>
      </c>
      <c r="D26" s="119">
        <v>4.0</v>
      </c>
      <c r="E26" s="119">
        <v>4.0</v>
      </c>
      <c r="F26" s="305">
        <f t="shared" si="10"/>
        <v>4</v>
      </c>
      <c r="G26" s="119">
        <v>4.0</v>
      </c>
      <c r="H26" s="119">
        <v>4.0</v>
      </c>
      <c r="I26" s="209">
        <f>SUM(G26:H26)/2</f>
        <v>4</v>
      </c>
      <c r="J26" s="121">
        <v>4.0</v>
      </c>
      <c r="K26" s="121">
        <v>4.0</v>
      </c>
      <c r="L26" s="121">
        <v>3.0</v>
      </c>
      <c r="M26" s="121">
        <v>3.0</v>
      </c>
      <c r="N26" s="121">
        <v>3.0</v>
      </c>
      <c r="O26" s="306">
        <f t="shared" si="3"/>
        <v>3</v>
      </c>
      <c r="P26" s="119">
        <v>3.0</v>
      </c>
      <c r="Q26" s="119">
        <v>3.0</v>
      </c>
      <c r="R26" s="119">
        <v>3.0</v>
      </c>
      <c r="S26" s="307">
        <f t="shared" si="4"/>
        <v>3</v>
      </c>
      <c r="T26" s="119">
        <v>4.0</v>
      </c>
      <c r="U26" s="119">
        <v>4.0</v>
      </c>
      <c r="V26" s="119">
        <v>4.0</v>
      </c>
      <c r="W26" s="308">
        <f t="shared" si="5"/>
        <v>4</v>
      </c>
      <c r="X26" s="119">
        <v>4.0</v>
      </c>
      <c r="Y26" s="119">
        <v>4.0</v>
      </c>
      <c r="Z26" s="119">
        <v>4.0</v>
      </c>
      <c r="AA26" s="119">
        <v>4.0</v>
      </c>
      <c r="AB26" s="212">
        <f t="shared" si="6"/>
        <v>4</v>
      </c>
      <c r="AC26" s="316">
        <v>3.0</v>
      </c>
      <c r="AD26" s="316">
        <v>3.0</v>
      </c>
      <c r="AE26" s="316">
        <v>3.0</v>
      </c>
      <c r="AF26" s="309">
        <f t="shared" si="7"/>
        <v>3</v>
      </c>
      <c r="AG26" s="63">
        <f t="shared" si="8"/>
        <v>3.6</v>
      </c>
    </row>
    <row r="27" ht="15.75" customHeight="1">
      <c r="A27" s="142">
        <v>20.0</v>
      </c>
      <c r="B27" s="118" t="s">
        <v>248</v>
      </c>
      <c r="C27" s="65" t="s">
        <v>44</v>
      </c>
      <c r="D27" s="119">
        <v>5.0</v>
      </c>
      <c r="E27" s="119">
        <v>5.0</v>
      </c>
      <c r="F27" s="305">
        <v>5.0</v>
      </c>
      <c r="G27" s="119">
        <v>5.0</v>
      </c>
      <c r="H27" s="119">
        <v>5.0</v>
      </c>
      <c r="I27" s="209">
        <v>5.0</v>
      </c>
      <c r="J27" s="121">
        <v>5.0</v>
      </c>
      <c r="K27" s="121">
        <v>5.0</v>
      </c>
      <c r="L27" s="121">
        <v>4.0</v>
      </c>
      <c r="M27" s="121">
        <v>4.0</v>
      </c>
      <c r="N27" s="121">
        <v>4.0</v>
      </c>
      <c r="O27" s="306">
        <f t="shared" si="3"/>
        <v>4</v>
      </c>
      <c r="P27" s="119">
        <v>5.0</v>
      </c>
      <c r="Q27" s="119">
        <v>5.0</v>
      </c>
      <c r="R27" s="119">
        <v>5.0</v>
      </c>
      <c r="S27" s="307">
        <f t="shared" si="4"/>
        <v>5</v>
      </c>
      <c r="T27" s="119">
        <v>4.0</v>
      </c>
      <c r="U27" s="119">
        <v>4.0</v>
      </c>
      <c r="V27" s="119">
        <v>4.0</v>
      </c>
      <c r="W27" s="308">
        <f t="shared" si="5"/>
        <v>4</v>
      </c>
      <c r="X27" s="119">
        <v>5.0</v>
      </c>
      <c r="Y27" s="119">
        <v>5.0</v>
      </c>
      <c r="Z27" s="119">
        <v>5.0</v>
      </c>
      <c r="AA27" s="119">
        <v>5.0</v>
      </c>
      <c r="AB27" s="212">
        <f t="shared" si="6"/>
        <v>5</v>
      </c>
      <c r="AC27" s="316">
        <v>5.0</v>
      </c>
      <c r="AD27" s="316">
        <v>5.0</v>
      </c>
      <c r="AE27" s="316">
        <v>5.0</v>
      </c>
      <c r="AF27" s="309">
        <f t="shared" si="7"/>
        <v>5</v>
      </c>
      <c r="AG27" s="63">
        <f t="shared" si="8"/>
        <v>4.7</v>
      </c>
    </row>
    <row r="28" ht="15.75" customHeight="1">
      <c r="A28" s="142">
        <v>21.0</v>
      </c>
      <c r="B28" s="118" t="s">
        <v>249</v>
      </c>
      <c r="C28" s="65" t="s">
        <v>45</v>
      </c>
      <c r="D28" s="119">
        <v>5.0</v>
      </c>
      <c r="E28" s="119">
        <v>5.0</v>
      </c>
      <c r="F28" s="305">
        <f t="shared" ref="F28:F49" si="11">SUM(D28:E28)/2</f>
        <v>5</v>
      </c>
      <c r="G28" s="119">
        <v>5.0</v>
      </c>
      <c r="H28" s="119">
        <v>5.0</v>
      </c>
      <c r="I28" s="209">
        <f t="shared" ref="I28:I49" si="12">SUM(G28:H28)/2</f>
        <v>5</v>
      </c>
      <c r="J28" s="121">
        <v>5.0</v>
      </c>
      <c r="K28" s="121">
        <v>5.0</v>
      </c>
      <c r="L28" s="121">
        <v>4.0</v>
      </c>
      <c r="M28" s="121">
        <v>4.0</v>
      </c>
      <c r="N28" s="121">
        <v>4.0</v>
      </c>
      <c r="O28" s="306">
        <f t="shared" si="3"/>
        <v>4</v>
      </c>
      <c r="P28" s="119">
        <v>5.0</v>
      </c>
      <c r="Q28" s="119">
        <v>5.0</v>
      </c>
      <c r="R28" s="119">
        <v>5.0</v>
      </c>
      <c r="S28" s="307">
        <f t="shared" si="4"/>
        <v>5</v>
      </c>
      <c r="T28" s="119">
        <v>4.0</v>
      </c>
      <c r="U28" s="119">
        <v>4.0</v>
      </c>
      <c r="V28" s="119">
        <v>4.0</v>
      </c>
      <c r="W28" s="308">
        <f t="shared" si="5"/>
        <v>4</v>
      </c>
      <c r="X28" s="119">
        <v>5.0</v>
      </c>
      <c r="Y28" s="119">
        <v>5.0</v>
      </c>
      <c r="Z28" s="119">
        <v>5.0</v>
      </c>
      <c r="AA28" s="119">
        <v>5.0</v>
      </c>
      <c r="AB28" s="212">
        <f t="shared" si="6"/>
        <v>5</v>
      </c>
      <c r="AC28" s="316">
        <v>5.0</v>
      </c>
      <c r="AD28" s="316">
        <v>5.0</v>
      </c>
      <c r="AE28" s="316">
        <v>5.0</v>
      </c>
      <c r="AF28" s="309">
        <f t="shared" si="7"/>
        <v>5</v>
      </c>
      <c r="AG28" s="63">
        <f t="shared" si="8"/>
        <v>4.7</v>
      </c>
    </row>
    <row r="29" ht="15.75" customHeight="1">
      <c r="A29" s="142">
        <v>22.0</v>
      </c>
      <c r="B29" s="118" t="s">
        <v>250</v>
      </c>
      <c r="C29" s="65" t="s">
        <v>45</v>
      </c>
      <c r="D29" s="119">
        <v>4.0</v>
      </c>
      <c r="E29" s="119">
        <v>4.0</v>
      </c>
      <c r="F29" s="305">
        <f t="shared" si="11"/>
        <v>4</v>
      </c>
      <c r="G29" s="119">
        <v>4.0</v>
      </c>
      <c r="H29" s="119">
        <v>4.0</v>
      </c>
      <c r="I29" s="209">
        <f t="shared" si="12"/>
        <v>4</v>
      </c>
      <c r="J29" s="121">
        <v>4.0</v>
      </c>
      <c r="K29" s="121">
        <v>4.0</v>
      </c>
      <c r="L29" s="121">
        <v>4.0</v>
      </c>
      <c r="M29" s="121">
        <v>3.0</v>
      </c>
      <c r="N29" s="121">
        <v>3.0</v>
      </c>
      <c r="O29" s="306">
        <f t="shared" si="3"/>
        <v>3</v>
      </c>
      <c r="P29" s="119">
        <v>4.0</v>
      </c>
      <c r="Q29" s="119">
        <v>4.0</v>
      </c>
      <c r="R29" s="119">
        <v>4.0</v>
      </c>
      <c r="S29" s="307">
        <f t="shared" si="4"/>
        <v>4</v>
      </c>
      <c r="T29" s="119">
        <v>3.0</v>
      </c>
      <c r="U29" s="119">
        <v>3.0</v>
      </c>
      <c r="V29" s="119">
        <v>3.0</v>
      </c>
      <c r="W29" s="308">
        <f t="shared" si="5"/>
        <v>3</v>
      </c>
      <c r="X29" s="119">
        <v>5.0</v>
      </c>
      <c r="Y29" s="119">
        <v>5.0</v>
      </c>
      <c r="Z29" s="119">
        <v>5.0</v>
      </c>
      <c r="AA29" s="119">
        <v>5.0</v>
      </c>
      <c r="AB29" s="212">
        <f t="shared" si="6"/>
        <v>5</v>
      </c>
      <c r="AC29" s="316">
        <v>4.0</v>
      </c>
      <c r="AD29" s="316">
        <v>3.0</v>
      </c>
      <c r="AE29" s="316">
        <v>4.0</v>
      </c>
      <c r="AF29" s="309">
        <f t="shared" si="7"/>
        <v>3.666666667</v>
      </c>
      <c r="AG29" s="63">
        <f t="shared" si="8"/>
        <v>3.866666667</v>
      </c>
    </row>
    <row r="30" ht="15.75" customHeight="1">
      <c r="A30" s="142">
        <v>23.0</v>
      </c>
      <c r="B30" s="118" t="s">
        <v>251</v>
      </c>
      <c r="C30" s="65" t="s">
        <v>44</v>
      </c>
      <c r="D30" s="119">
        <v>6.0</v>
      </c>
      <c r="E30" s="119">
        <v>6.0</v>
      </c>
      <c r="F30" s="305">
        <f t="shared" si="11"/>
        <v>6</v>
      </c>
      <c r="G30" s="119">
        <v>6.0</v>
      </c>
      <c r="H30" s="119">
        <v>6.0</v>
      </c>
      <c r="I30" s="209">
        <f t="shared" si="12"/>
        <v>6</v>
      </c>
      <c r="J30" s="121">
        <v>5.0</v>
      </c>
      <c r="K30" s="121">
        <v>5.0</v>
      </c>
      <c r="L30" s="121">
        <v>5.0</v>
      </c>
      <c r="M30" s="121">
        <v>5.0</v>
      </c>
      <c r="N30" s="121">
        <v>5.0</v>
      </c>
      <c r="O30" s="306">
        <f t="shared" si="3"/>
        <v>5</v>
      </c>
      <c r="P30" s="119">
        <v>5.0</v>
      </c>
      <c r="Q30" s="119">
        <v>5.0</v>
      </c>
      <c r="R30" s="119">
        <v>5.0</v>
      </c>
      <c r="S30" s="307">
        <f t="shared" si="4"/>
        <v>5</v>
      </c>
      <c r="T30" s="119">
        <v>5.0</v>
      </c>
      <c r="U30" s="119">
        <v>5.0</v>
      </c>
      <c r="V30" s="119">
        <v>5.0</v>
      </c>
      <c r="W30" s="308">
        <f t="shared" si="5"/>
        <v>5</v>
      </c>
      <c r="X30" s="119">
        <v>5.0</v>
      </c>
      <c r="Y30" s="119">
        <v>5.0</v>
      </c>
      <c r="Z30" s="119">
        <v>5.0</v>
      </c>
      <c r="AA30" s="119">
        <v>5.0</v>
      </c>
      <c r="AB30" s="212">
        <f t="shared" si="6"/>
        <v>5</v>
      </c>
      <c r="AC30" s="119">
        <v>6.0</v>
      </c>
      <c r="AD30" s="119">
        <v>5.0</v>
      </c>
      <c r="AE30" s="119">
        <v>6.0</v>
      </c>
      <c r="AF30" s="309">
        <f t="shared" si="7"/>
        <v>5.666666667</v>
      </c>
      <c r="AG30" s="63">
        <f t="shared" si="8"/>
        <v>5.266666667</v>
      </c>
    </row>
    <row r="31" ht="15.75" customHeight="1">
      <c r="A31" s="142">
        <v>24.0</v>
      </c>
      <c r="B31" s="118" t="s">
        <v>252</v>
      </c>
      <c r="C31" s="65" t="s">
        <v>44</v>
      </c>
      <c r="D31" s="119">
        <v>4.0</v>
      </c>
      <c r="E31" s="119">
        <v>4.0</v>
      </c>
      <c r="F31" s="305">
        <f t="shared" si="11"/>
        <v>4</v>
      </c>
      <c r="G31" s="119">
        <v>4.0</v>
      </c>
      <c r="H31" s="119">
        <v>4.0</v>
      </c>
      <c r="I31" s="209">
        <f t="shared" si="12"/>
        <v>4</v>
      </c>
      <c r="J31" s="121">
        <v>3.0</v>
      </c>
      <c r="K31" s="121">
        <v>3.0</v>
      </c>
      <c r="L31" s="121">
        <v>3.0</v>
      </c>
      <c r="M31" s="121">
        <v>3.0</v>
      </c>
      <c r="N31" s="121">
        <v>3.0</v>
      </c>
      <c r="O31" s="306">
        <f t="shared" si="3"/>
        <v>3</v>
      </c>
      <c r="P31" s="119">
        <v>3.0</v>
      </c>
      <c r="Q31" s="119">
        <v>4.0</v>
      </c>
      <c r="R31" s="119">
        <v>3.0</v>
      </c>
      <c r="S31" s="307">
        <f t="shared" si="4"/>
        <v>3.333333333</v>
      </c>
      <c r="T31" s="119">
        <v>3.0</v>
      </c>
      <c r="U31" s="119">
        <v>3.0</v>
      </c>
      <c r="V31" s="119">
        <v>3.0</v>
      </c>
      <c r="W31" s="308">
        <f t="shared" si="5"/>
        <v>3</v>
      </c>
      <c r="X31" s="119">
        <v>4.0</v>
      </c>
      <c r="Y31" s="119">
        <v>4.0</v>
      </c>
      <c r="Z31" s="119">
        <v>4.0</v>
      </c>
      <c r="AA31" s="119">
        <v>4.0</v>
      </c>
      <c r="AB31" s="212">
        <f t="shared" si="6"/>
        <v>4</v>
      </c>
      <c r="AC31" s="316">
        <v>3.0</v>
      </c>
      <c r="AD31" s="316">
        <v>3.0</v>
      </c>
      <c r="AE31" s="316">
        <v>3.0</v>
      </c>
      <c r="AF31" s="309">
        <f t="shared" si="7"/>
        <v>3</v>
      </c>
      <c r="AG31" s="63">
        <f t="shared" si="8"/>
        <v>3.333333333</v>
      </c>
    </row>
    <row r="32" ht="15.75" customHeight="1">
      <c r="A32" s="142">
        <v>25.0</v>
      </c>
      <c r="B32" s="118" t="s">
        <v>253</v>
      </c>
      <c r="C32" s="65" t="s">
        <v>45</v>
      </c>
      <c r="D32" s="77">
        <v>4.0</v>
      </c>
      <c r="E32" s="77">
        <v>4.0</v>
      </c>
      <c r="F32" s="317">
        <f t="shared" si="11"/>
        <v>4</v>
      </c>
      <c r="G32" s="77">
        <v>4.0</v>
      </c>
      <c r="H32" s="77">
        <v>4.0</v>
      </c>
      <c r="I32" s="318">
        <f t="shared" si="12"/>
        <v>4</v>
      </c>
      <c r="J32" s="76">
        <v>3.0</v>
      </c>
      <c r="K32" s="76">
        <v>3.0</v>
      </c>
      <c r="L32" s="76">
        <v>3.0</v>
      </c>
      <c r="M32" s="76">
        <v>3.0</v>
      </c>
      <c r="N32" s="76">
        <v>3.0</v>
      </c>
      <c r="O32" s="319">
        <f t="shared" si="3"/>
        <v>3</v>
      </c>
      <c r="P32" s="77">
        <v>3.0</v>
      </c>
      <c r="Q32" s="77">
        <v>4.0</v>
      </c>
      <c r="R32" s="77">
        <v>3.0</v>
      </c>
      <c r="S32" s="320">
        <f t="shared" si="4"/>
        <v>3.333333333</v>
      </c>
      <c r="T32" s="77">
        <v>3.0</v>
      </c>
      <c r="U32" s="77">
        <v>3.0</v>
      </c>
      <c r="V32" s="77">
        <v>3.0</v>
      </c>
      <c r="W32" s="321">
        <f t="shared" si="5"/>
        <v>3</v>
      </c>
      <c r="X32" s="77">
        <v>4.0</v>
      </c>
      <c r="Y32" s="77">
        <v>4.0</v>
      </c>
      <c r="Z32" s="77">
        <v>4.0</v>
      </c>
      <c r="AA32" s="77">
        <v>4.0</v>
      </c>
      <c r="AB32" s="322">
        <f t="shared" si="6"/>
        <v>4</v>
      </c>
      <c r="AC32" s="323">
        <v>3.0</v>
      </c>
      <c r="AD32" s="323">
        <v>3.0</v>
      </c>
      <c r="AE32" s="323">
        <v>3.0</v>
      </c>
      <c r="AF32" s="309">
        <f t="shared" si="7"/>
        <v>3</v>
      </c>
      <c r="AG32" s="63">
        <f t="shared" si="8"/>
        <v>3.333333333</v>
      </c>
    </row>
    <row r="33" ht="15.75" customHeight="1">
      <c r="A33" s="142">
        <v>26.0</v>
      </c>
      <c r="B33" s="118" t="s">
        <v>254</v>
      </c>
      <c r="C33" s="65" t="s">
        <v>45</v>
      </c>
      <c r="D33" s="77">
        <v>4.0</v>
      </c>
      <c r="E33" s="77">
        <v>4.0</v>
      </c>
      <c r="F33" s="317">
        <f t="shared" si="11"/>
        <v>4</v>
      </c>
      <c r="G33" s="77">
        <v>4.0</v>
      </c>
      <c r="H33" s="77">
        <v>4.0</v>
      </c>
      <c r="I33" s="318">
        <f t="shared" si="12"/>
        <v>4</v>
      </c>
      <c r="J33" s="76">
        <v>3.0</v>
      </c>
      <c r="K33" s="76">
        <v>3.0</v>
      </c>
      <c r="L33" s="76">
        <v>3.0</v>
      </c>
      <c r="M33" s="76">
        <v>3.0</v>
      </c>
      <c r="N33" s="76">
        <v>3.0</v>
      </c>
      <c r="O33" s="319">
        <f t="shared" si="3"/>
        <v>3</v>
      </c>
      <c r="P33" s="77">
        <v>3.0</v>
      </c>
      <c r="Q33" s="77">
        <v>4.0</v>
      </c>
      <c r="R33" s="77">
        <v>3.0</v>
      </c>
      <c r="S33" s="320">
        <f t="shared" si="4"/>
        <v>3.333333333</v>
      </c>
      <c r="T33" s="77">
        <v>3.0</v>
      </c>
      <c r="U33" s="77">
        <v>3.0</v>
      </c>
      <c r="V33" s="77">
        <v>3.0</v>
      </c>
      <c r="W33" s="321">
        <f t="shared" si="5"/>
        <v>3</v>
      </c>
      <c r="X33" s="77">
        <v>4.0</v>
      </c>
      <c r="Y33" s="77">
        <v>4.0</v>
      </c>
      <c r="Z33" s="77">
        <v>4.0</v>
      </c>
      <c r="AA33" s="77">
        <v>4.0</v>
      </c>
      <c r="AB33" s="322">
        <f t="shared" si="6"/>
        <v>4</v>
      </c>
      <c r="AC33" s="323">
        <v>3.0</v>
      </c>
      <c r="AD33" s="323">
        <v>3.0</v>
      </c>
      <c r="AE33" s="323">
        <v>3.0</v>
      </c>
      <c r="AF33" s="309">
        <f t="shared" si="7"/>
        <v>3</v>
      </c>
      <c r="AG33" s="63">
        <f t="shared" si="8"/>
        <v>3.333333333</v>
      </c>
    </row>
    <row r="34" ht="15.75" customHeight="1">
      <c r="A34" s="142">
        <v>27.0</v>
      </c>
      <c r="B34" s="118" t="s">
        <v>255</v>
      </c>
      <c r="C34" s="65" t="s">
        <v>45</v>
      </c>
      <c r="D34" s="119">
        <v>4.0</v>
      </c>
      <c r="E34" s="119">
        <v>4.0</v>
      </c>
      <c r="F34" s="305">
        <f t="shared" si="11"/>
        <v>4</v>
      </c>
      <c r="G34" s="119">
        <v>4.0</v>
      </c>
      <c r="H34" s="119">
        <v>4.0</v>
      </c>
      <c r="I34" s="209">
        <f t="shared" si="12"/>
        <v>4</v>
      </c>
      <c r="J34" s="121">
        <v>4.0</v>
      </c>
      <c r="K34" s="121">
        <v>4.0</v>
      </c>
      <c r="L34" s="121">
        <v>4.0</v>
      </c>
      <c r="M34" s="121">
        <v>4.0</v>
      </c>
      <c r="N34" s="121">
        <v>4.0</v>
      </c>
      <c r="O34" s="306">
        <f t="shared" si="3"/>
        <v>4</v>
      </c>
      <c r="P34" s="119">
        <v>5.0</v>
      </c>
      <c r="Q34" s="119">
        <v>5.0</v>
      </c>
      <c r="R34" s="119">
        <v>5.0</v>
      </c>
      <c r="S34" s="307">
        <f t="shared" si="4"/>
        <v>5</v>
      </c>
      <c r="T34" s="119">
        <v>4.0</v>
      </c>
      <c r="U34" s="119">
        <v>4.0</v>
      </c>
      <c r="V34" s="119">
        <v>4.0</v>
      </c>
      <c r="W34" s="308">
        <f t="shared" si="5"/>
        <v>4</v>
      </c>
      <c r="X34" s="119">
        <v>5.0</v>
      </c>
      <c r="Y34" s="119">
        <v>5.0</v>
      </c>
      <c r="Z34" s="119">
        <v>5.0</v>
      </c>
      <c r="AA34" s="119">
        <v>5.0</v>
      </c>
      <c r="AB34" s="212">
        <f t="shared" si="6"/>
        <v>5</v>
      </c>
      <c r="AC34" s="119">
        <v>4.0</v>
      </c>
      <c r="AD34" s="119">
        <v>4.0</v>
      </c>
      <c r="AE34" s="119">
        <v>4.0</v>
      </c>
      <c r="AF34" s="309">
        <f t="shared" si="7"/>
        <v>4</v>
      </c>
      <c r="AG34" s="63">
        <f t="shared" si="8"/>
        <v>4.2</v>
      </c>
    </row>
    <row r="35" ht="15.75" customHeight="1">
      <c r="A35" s="142">
        <v>28.0</v>
      </c>
      <c r="B35" s="118" t="s">
        <v>256</v>
      </c>
      <c r="C35" s="65" t="s">
        <v>45</v>
      </c>
      <c r="D35" s="119">
        <v>4.0</v>
      </c>
      <c r="E35" s="119">
        <v>4.0</v>
      </c>
      <c r="F35" s="305">
        <f t="shared" si="11"/>
        <v>4</v>
      </c>
      <c r="G35" s="119">
        <v>4.0</v>
      </c>
      <c r="H35" s="119">
        <v>4.0</v>
      </c>
      <c r="I35" s="209">
        <f t="shared" si="12"/>
        <v>4</v>
      </c>
      <c r="J35" s="121">
        <v>4.0</v>
      </c>
      <c r="K35" s="121">
        <v>4.0</v>
      </c>
      <c r="L35" s="121">
        <v>4.0</v>
      </c>
      <c r="M35" s="121">
        <v>4.0</v>
      </c>
      <c r="N35" s="121">
        <v>4.0</v>
      </c>
      <c r="O35" s="306">
        <f t="shared" si="3"/>
        <v>4</v>
      </c>
      <c r="P35" s="119">
        <v>4.0</v>
      </c>
      <c r="Q35" s="119">
        <v>4.0</v>
      </c>
      <c r="R35" s="119">
        <v>4.0</v>
      </c>
      <c r="S35" s="307">
        <f t="shared" si="4"/>
        <v>4</v>
      </c>
      <c r="T35" s="119">
        <v>4.0</v>
      </c>
      <c r="U35" s="119">
        <v>4.0</v>
      </c>
      <c r="V35" s="119">
        <v>4.0</v>
      </c>
      <c r="W35" s="308">
        <f t="shared" si="5"/>
        <v>4</v>
      </c>
      <c r="X35" s="119">
        <v>5.0</v>
      </c>
      <c r="Y35" s="119">
        <v>5.0</v>
      </c>
      <c r="Z35" s="119">
        <v>5.0</v>
      </c>
      <c r="AA35" s="119">
        <v>5.0</v>
      </c>
      <c r="AB35" s="212">
        <f t="shared" si="6"/>
        <v>5</v>
      </c>
      <c r="AC35" s="119">
        <v>4.0</v>
      </c>
      <c r="AD35" s="119">
        <v>4.0</v>
      </c>
      <c r="AE35" s="119">
        <v>4.0</v>
      </c>
      <c r="AF35" s="309">
        <f t="shared" si="7"/>
        <v>4</v>
      </c>
      <c r="AG35" s="63">
        <f t="shared" si="8"/>
        <v>4.1</v>
      </c>
    </row>
    <row r="36" ht="15.75" customHeight="1">
      <c r="A36" s="142">
        <v>29.0</v>
      </c>
      <c r="B36" s="118" t="s">
        <v>257</v>
      </c>
      <c r="C36" s="65" t="s">
        <v>45</v>
      </c>
      <c r="D36" s="77">
        <v>4.0</v>
      </c>
      <c r="E36" s="77">
        <v>4.0</v>
      </c>
      <c r="F36" s="317">
        <f t="shared" si="11"/>
        <v>4</v>
      </c>
      <c r="G36" s="77">
        <v>4.0</v>
      </c>
      <c r="H36" s="77">
        <v>4.0</v>
      </c>
      <c r="I36" s="318">
        <f t="shared" si="12"/>
        <v>4</v>
      </c>
      <c r="J36" s="76">
        <v>3.0</v>
      </c>
      <c r="K36" s="76">
        <v>3.0</v>
      </c>
      <c r="L36" s="76">
        <v>3.0</v>
      </c>
      <c r="M36" s="76">
        <v>3.0</v>
      </c>
      <c r="N36" s="76">
        <v>3.0</v>
      </c>
      <c r="O36" s="319">
        <f t="shared" si="3"/>
        <v>3</v>
      </c>
      <c r="P36" s="77">
        <v>3.0</v>
      </c>
      <c r="Q36" s="77">
        <v>4.0</v>
      </c>
      <c r="R36" s="77">
        <v>3.0</v>
      </c>
      <c r="S36" s="320">
        <f t="shared" si="4"/>
        <v>3.333333333</v>
      </c>
      <c r="T36" s="77">
        <v>3.0</v>
      </c>
      <c r="U36" s="77">
        <v>3.0</v>
      </c>
      <c r="V36" s="77">
        <v>3.0</v>
      </c>
      <c r="W36" s="321">
        <f t="shared" si="5"/>
        <v>3</v>
      </c>
      <c r="X36" s="77">
        <v>4.0</v>
      </c>
      <c r="Y36" s="77">
        <v>4.0</v>
      </c>
      <c r="Z36" s="77">
        <v>4.0</v>
      </c>
      <c r="AA36" s="77">
        <v>4.0</v>
      </c>
      <c r="AB36" s="322">
        <f t="shared" si="6"/>
        <v>4</v>
      </c>
      <c r="AC36" s="323">
        <v>3.0</v>
      </c>
      <c r="AD36" s="323">
        <v>3.0</v>
      </c>
      <c r="AE36" s="323">
        <v>3.0</v>
      </c>
      <c r="AF36" s="309">
        <f t="shared" si="7"/>
        <v>3</v>
      </c>
      <c r="AG36" s="63">
        <f t="shared" si="8"/>
        <v>3.333333333</v>
      </c>
    </row>
    <row r="37" ht="15.75" customHeight="1">
      <c r="A37" s="142">
        <v>30.0</v>
      </c>
      <c r="B37" s="118" t="s">
        <v>258</v>
      </c>
      <c r="C37" s="65" t="s">
        <v>44</v>
      </c>
      <c r="D37" s="77">
        <v>4.0</v>
      </c>
      <c r="E37" s="77">
        <v>4.0</v>
      </c>
      <c r="F37" s="317">
        <f t="shared" si="11"/>
        <v>4</v>
      </c>
      <c r="G37" s="77">
        <v>4.0</v>
      </c>
      <c r="H37" s="77">
        <v>4.0</v>
      </c>
      <c r="I37" s="318">
        <f t="shared" si="12"/>
        <v>4</v>
      </c>
      <c r="J37" s="76">
        <v>3.0</v>
      </c>
      <c r="K37" s="76">
        <v>3.0</v>
      </c>
      <c r="L37" s="76">
        <v>3.0</v>
      </c>
      <c r="M37" s="76">
        <v>3.0</v>
      </c>
      <c r="N37" s="76">
        <v>3.0</v>
      </c>
      <c r="O37" s="319">
        <f t="shared" si="3"/>
        <v>3</v>
      </c>
      <c r="P37" s="77">
        <v>3.0</v>
      </c>
      <c r="Q37" s="77">
        <v>4.0</v>
      </c>
      <c r="R37" s="77">
        <v>3.0</v>
      </c>
      <c r="S37" s="320">
        <f t="shared" si="4"/>
        <v>3.333333333</v>
      </c>
      <c r="T37" s="77">
        <v>3.0</v>
      </c>
      <c r="U37" s="77">
        <v>3.0</v>
      </c>
      <c r="V37" s="77">
        <v>3.0</v>
      </c>
      <c r="W37" s="321">
        <f t="shared" si="5"/>
        <v>3</v>
      </c>
      <c r="X37" s="77">
        <v>4.0</v>
      </c>
      <c r="Y37" s="77">
        <v>4.0</v>
      </c>
      <c r="Z37" s="77">
        <v>4.0</v>
      </c>
      <c r="AA37" s="77">
        <v>4.0</v>
      </c>
      <c r="AB37" s="322">
        <f t="shared" si="6"/>
        <v>4</v>
      </c>
      <c r="AC37" s="323">
        <v>3.0</v>
      </c>
      <c r="AD37" s="323">
        <v>3.0</v>
      </c>
      <c r="AE37" s="323">
        <v>3.0</v>
      </c>
      <c r="AF37" s="309">
        <f t="shared" si="7"/>
        <v>3</v>
      </c>
      <c r="AG37" s="63">
        <f t="shared" si="8"/>
        <v>3.333333333</v>
      </c>
    </row>
    <row r="38" ht="15.75" customHeight="1">
      <c r="A38" s="142">
        <v>31.0</v>
      </c>
      <c r="B38" s="118" t="s">
        <v>259</v>
      </c>
      <c r="C38" s="65" t="s">
        <v>44</v>
      </c>
      <c r="D38" s="119">
        <v>5.0</v>
      </c>
      <c r="E38" s="119">
        <v>5.0</v>
      </c>
      <c r="F38" s="305">
        <f t="shared" si="11"/>
        <v>5</v>
      </c>
      <c r="G38" s="119">
        <v>4.0</v>
      </c>
      <c r="H38" s="119">
        <v>5.0</v>
      </c>
      <c r="I38" s="209">
        <f t="shared" si="12"/>
        <v>4.5</v>
      </c>
      <c r="J38" s="121">
        <v>5.0</v>
      </c>
      <c r="K38" s="121">
        <v>5.0</v>
      </c>
      <c r="L38" s="121">
        <v>4.0</v>
      </c>
      <c r="M38" s="121">
        <v>4.0</v>
      </c>
      <c r="N38" s="121">
        <v>4.0</v>
      </c>
      <c r="O38" s="306">
        <f t="shared" si="3"/>
        <v>4</v>
      </c>
      <c r="P38" s="119">
        <v>5.0</v>
      </c>
      <c r="Q38" s="119">
        <v>5.0</v>
      </c>
      <c r="R38" s="119">
        <v>5.0</v>
      </c>
      <c r="S38" s="307">
        <f t="shared" si="4"/>
        <v>5</v>
      </c>
      <c r="T38" s="119">
        <v>4.0</v>
      </c>
      <c r="U38" s="119">
        <v>4.0</v>
      </c>
      <c r="V38" s="119">
        <v>4.0</v>
      </c>
      <c r="W38" s="308">
        <f t="shared" si="5"/>
        <v>4</v>
      </c>
      <c r="X38" s="119">
        <v>5.0</v>
      </c>
      <c r="Y38" s="119">
        <v>5.0</v>
      </c>
      <c r="Z38" s="119">
        <v>5.0</v>
      </c>
      <c r="AA38" s="119">
        <v>5.0</v>
      </c>
      <c r="AB38" s="212">
        <f t="shared" si="6"/>
        <v>5</v>
      </c>
      <c r="AC38" s="119">
        <v>6.0</v>
      </c>
      <c r="AD38" s="119">
        <v>6.0</v>
      </c>
      <c r="AE38" s="119">
        <v>6.0</v>
      </c>
      <c r="AF38" s="309">
        <f t="shared" si="7"/>
        <v>6</v>
      </c>
      <c r="AG38" s="63">
        <f t="shared" si="8"/>
        <v>4.75</v>
      </c>
    </row>
    <row r="39" ht="15.75" customHeight="1">
      <c r="A39" s="142">
        <v>32.0</v>
      </c>
      <c r="B39" s="118" t="s">
        <v>260</v>
      </c>
      <c r="C39" s="65" t="s">
        <v>44</v>
      </c>
      <c r="D39" s="119">
        <v>5.0</v>
      </c>
      <c r="E39" s="119">
        <v>5.0</v>
      </c>
      <c r="F39" s="305">
        <f t="shared" si="11"/>
        <v>5</v>
      </c>
      <c r="G39" s="119">
        <v>4.0</v>
      </c>
      <c r="H39" s="119">
        <v>5.0</v>
      </c>
      <c r="I39" s="209">
        <f t="shared" si="12"/>
        <v>4.5</v>
      </c>
      <c r="J39" s="121">
        <v>5.0</v>
      </c>
      <c r="K39" s="121">
        <v>5.0</v>
      </c>
      <c r="L39" s="121">
        <v>4.0</v>
      </c>
      <c r="M39" s="121">
        <v>4.0</v>
      </c>
      <c r="N39" s="121">
        <v>4.0</v>
      </c>
      <c r="O39" s="306">
        <f t="shared" si="3"/>
        <v>4</v>
      </c>
      <c r="P39" s="119">
        <v>5.0</v>
      </c>
      <c r="Q39" s="119">
        <v>5.0</v>
      </c>
      <c r="R39" s="119">
        <v>5.0</v>
      </c>
      <c r="S39" s="307">
        <f t="shared" si="4"/>
        <v>5</v>
      </c>
      <c r="T39" s="119">
        <v>4.0</v>
      </c>
      <c r="U39" s="119">
        <v>4.0</v>
      </c>
      <c r="V39" s="119">
        <v>4.0</v>
      </c>
      <c r="W39" s="308">
        <f t="shared" si="5"/>
        <v>4</v>
      </c>
      <c r="X39" s="119">
        <v>5.0</v>
      </c>
      <c r="Y39" s="119">
        <v>5.0</v>
      </c>
      <c r="Z39" s="119">
        <v>5.0</v>
      </c>
      <c r="AA39" s="119">
        <v>5.0</v>
      </c>
      <c r="AB39" s="212">
        <f t="shared" si="6"/>
        <v>5</v>
      </c>
      <c r="AC39" s="119">
        <v>6.0</v>
      </c>
      <c r="AD39" s="119">
        <v>6.0</v>
      </c>
      <c r="AE39" s="119">
        <v>6.0</v>
      </c>
      <c r="AF39" s="309">
        <f t="shared" si="7"/>
        <v>6</v>
      </c>
      <c r="AG39" s="63">
        <f t="shared" si="8"/>
        <v>4.75</v>
      </c>
    </row>
    <row r="40" ht="15.75" customHeight="1">
      <c r="A40" s="142">
        <v>33.0</v>
      </c>
      <c r="B40" s="118" t="s">
        <v>261</v>
      </c>
      <c r="C40" s="65" t="s">
        <v>45</v>
      </c>
      <c r="D40" s="119">
        <v>4.0</v>
      </c>
      <c r="E40" s="119">
        <v>4.0</v>
      </c>
      <c r="F40" s="305">
        <f t="shared" si="11"/>
        <v>4</v>
      </c>
      <c r="G40" s="119">
        <v>4.0</v>
      </c>
      <c r="H40" s="119">
        <v>4.0</v>
      </c>
      <c r="I40" s="209">
        <f t="shared" si="12"/>
        <v>4</v>
      </c>
      <c r="J40" s="121">
        <v>4.0</v>
      </c>
      <c r="K40" s="121">
        <v>4.0</v>
      </c>
      <c r="L40" s="121">
        <v>4.0</v>
      </c>
      <c r="M40" s="121">
        <v>4.0</v>
      </c>
      <c r="N40" s="121">
        <v>4.0</v>
      </c>
      <c r="O40" s="306">
        <f t="shared" si="3"/>
        <v>4</v>
      </c>
      <c r="P40" s="119">
        <v>4.0</v>
      </c>
      <c r="Q40" s="119">
        <v>4.0</v>
      </c>
      <c r="R40" s="119">
        <v>4.0</v>
      </c>
      <c r="S40" s="307">
        <f t="shared" si="4"/>
        <v>4</v>
      </c>
      <c r="T40" s="119">
        <v>4.0</v>
      </c>
      <c r="U40" s="119">
        <v>4.0</v>
      </c>
      <c r="V40" s="119">
        <v>4.0</v>
      </c>
      <c r="W40" s="308">
        <f t="shared" si="5"/>
        <v>4</v>
      </c>
      <c r="X40" s="119">
        <v>5.0</v>
      </c>
      <c r="Y40" s="119">
        <v>5.0</v>
      </c>
      <c r="Z40" s="119">
        <v>5.0</v>
      </c>
      <c r="AA40" s="119">
        <v>5.0</v>
      </c>
      <c r="AB40" s="212">
        <f t="shared" si="6"/>
        <v>5</v>
      </c>
      <c r="AC40" s="119">
        <v>4.0</v>
      </c>
      <c r="AD40" s="119">
        <v>4.0</v>
      </c>
      <c r="AE40" s="119">
        <v>4.0</v>
      </c>
      <c r="AF40" s="309">
        <f t="shared" si="7"/>
        <v>4</v>
      </c>
      <c r="AG40" s="63">
        <f t="shared" si="8"/>
        <v>4.1</v>
      </c>
    </row>
    <row r="41" ht="15.75" customHeight="1">
      <c r="A41" s="142">
        <v>34.0</v>
      </c>
      <c r="B41" s="118" t="s">
        <v>262</v>
      </c>
      <c r="C41" s="65" t="s">
        <v>44</v>
      </c>
      <c r="D41" s="119">
        <v>4.0</v>
      </c>
      <c r="E41" s="119">
        <v>4.0</v>
      </c>
      <c r="F41" s="305">
        <f t="shared" si="11"/>
        <v>4</v>
      </c>
      <c r="G41" s="119">
        <v>4.0</v>
      </c>
      <c r="H41" s="119">
        <v>4.0</v>
      </c>
      <c r="I41" s="209">
        <f t="shared" si="12"/>
        <v>4</v>
      </c>
      <c r="J41" s="121">
        <v>4.0</v>
      </c>
      <c r="K41" s="121">
        <v>4.0</v>
      </c>
      <c r="L41" s="121">
        <v>4.0</v>
      </c>
      <c r="M41" s="121">
        <v>4.0</v>
      </c>
      <c r="N41" s="121">
        <v>4.0</v>
      </c>
      <c r="O41" s="306">
        <f t="shared" si="3"/>
        <v>4</v>
      </c>
      <c r="P41" s="119">
        <v>3.0</v>
      </c>
      <c r="Q41" s="119">
        <v>3.0</v>
      </c>
      <c r="R41" s="119">
        <v>3.0</v>
      </c>
      <c r="S41" s="307">
        <f t="shared" si="4"/>
        <v>3</v>
      </c>
      <c r="T41" s="119">
        <v>4.0</v>
      </c>
      <c r="U41" s="119">
        <v>4.0</v>
      </c>
      <c r="V41" s="119">
        <v>4.0</v>
      </c>
      <c r="W41" s="308">
        <f t="shared" si="5"/>
        <v>4</v>
      </c>
      <c r="X41" s="119">
        <v>5.0</v>
      </c>
      <c r="Y41" s="119">
        <v>5.0</v>
      </c>
      <c r="Z41" s="119">
        <v>5.0</v>
      </c>
      <c r="AA41" s="119">
        <v>5.0</v>
      </c>
      <c r="AB41" s="212">
        <f t="shared" si="6"/>
        <v>5</v>
      </c>
      <c r="AC41" s="119">
        <v>4.0</v>
      </c>
      <c r="AD41" s="119">
        <v>4.0</v>
      </c>
      <c r="AE41" s="119">
        <v>4.0</v>
      </c>
      <c r="AF41" s="309">
        <f t="shared" si="7"/>
        <v>4</v>
      </c>
      <c r="AG41" s="63">
        <f t="shared" si="8"/>
        <v>4</v>
      </c>
    </row>
    <row r="42" ht="15.75" customHeight="1">
      <c r="A42" s="142">
        <v>35.0</v>
      </c>
      <c r="B42" s="118" t="s">
        <v>263</v>
      </c>
      <c r="C42" s="65" t="s">
        <v>45</v>
      </c>
      <c r="D42" s="119">
        <v>5.0</v>
      </c>
      <c r="E42" s="119">
        <v>5.0</v>
      </c>
      <c r="F42" s="305">
        <f t="shared" si="11"/>
        <v>5</v>
      </c>
      <c r="G42" s="119">
        <v>4.0</v>
      </c>
      <c r="H42" s="119">
        <v>5.0</v>
      </c>
      <c r="I42" s="209">
        <f t="shared" si="12"/>
        <v>4.5</v>
      </c>
      <c r="J42" s="121">
        <v>5.0</v>
      </c>
      <c r="K42" s="121">
        <v>5.0</v>
      </c>
      <c r="L42" s="121">
        <v>4.0</v>
      </c>
      <c r="M42" s="121">
        <v>4.0</v>
      </c>
      <c r="N42" s="121">
        <v>4.0</v>
      </c>
      <c r="O42" s="306">
        <f t="shared" si="3"/>
        <v>4</v>
      </c>
      <c r="P42" s="119">
        <v>5.0</v>
      </c>
      <c r="Q42" s="119">
        <v>5.0</v>
      </c>
      <c r="R42" s="119">
        <v>5.0</v>
      </c>
      <c r="S42" s="307">
        <f t="shared" si="4"/>
        <v>5</v>
      </c>
      <c r="T42" s="119">
        <v>4.0</v>
      </c>
      <c r="U42" s="119">
        <v>4.0</v>
      </c>
      <c r="V42" s="119">
        <v>4.0</v>
      </c>
      <c r="W42" s="308">
        <f t="shared" si="5"/>
        <v>4</v>
      </c>
      <c r="X42" s="119">
        <v>5.0</v>
      </c>
      <c r="Y42" s="119">
        <v>5.0</v>
      </c>
      <c r="Z42" s="119">
        <v>5.0</v>
      </c>
      <c r="AA42" s="119">
        <v>5.0</v>
      </c>
      <c r="AB42" s="212">
        <f t="shared" si="6"/>
        <v>5</v>
      </c>
      <c r="AC42" s="119">
        <v>6.0</v>
      </c>
      <c r="AD42" s="119">
        <v>6.0</v>
      </c>
      <c r="AE42" s="119">
        <v>6.0</v>
      </c>
      <c r="AF42" s="309">
        <f t="shared" si="7"/>
        <v>6</v>
      </c>
      <c r="AG42" s="63">
        <f t="shared" si="8"/>
        <v>4.75</v>
      </c>
    </row>
    <row r="43" ht="15.75" customHeight="1">
      <c r="A43" s="142">
        <v>36.0</v>
      </c>
      <c r="B43" s="118" t="s">
        <v>264</v>
      </c>
      <c r="C43" s="65" t="s">
        <v>45</v>
      </c>
      <c r="D43" s="119">
        <v>4.0</v>
      </c>
      <c r="E43" s="119">
        <v>4.0</v>
      </c>
      <c r="F43" s="305">
        <f t="shared" si="11"/>
        <v>4</v>
      </c>
      <c r="G43" s="119">
        <v>4.0</v>
      </c>
      <c r="H43" s="119">
        <v>4.0</v>
      </c>
      <c r="I43" s="209">
        <f t="shared" si="12"/>
        <v>4</v>
      </c>
      <c r="J43" s="121">
        <v>3.0</v>
      </c>
      <c r="K43" s="121">
        <v>3.0</v>
      </c>
      <c r="L43" s="121">
        <v>3.0</v>
      </c>
      <c r="M43" s="121">
        <v>3.0</v>
      </c>
      <c r="N43" s="121">
        <v>3.0</v>
      </c>
      <c r="O43" s="306">
        <f t="shared" si="3"/>
        <v>3</v>
      </c>
      <c r="P43" s="119">
        <v>3.0</v>
      </c>
      <c r="Q43" s="119">
        <v>4.0</v>
      </c>
      <c r="R43" s="119">
        <v>3.0</v>
      </c>
      <c r="S43" s="307">
        <f t="shared" si="4"/>
        <v>3.333333333</v>
      </c>
      <c r="T43" s="119">
        <v>3.0</v>
      </c>
      <c r="U43" s="119">
        <v>3.0</v>
      </c>
      <c r="V43" s="119">
        <v>3.0</v>
      </c>
      <c r="W43" s="308">
        <f t="shared" si="5"/>
        <v>3</v>
      </c>
      <c r="X43" s="119">
        <v>4.0</v>
      </c>
      <c r="Y43" s="119">
        <v>4.0</v>
      </c>
      <c r="Z43" s="119">
        <v>4.0</v>
      </c>
      <c r="AA43" s="119">
        <v>4.0</v>
      </c>
      <c r="AB43" s="212">
        <f t="shared" si="6"/>
        <v>4</v>
      </c>
      <c r="AC43" s="316">
        <v>3.0</v>
      </c>
      <c r="AD43" s="316">
        <v>3.0</v>
      </c>
      <c r="AE43" s="316">
        <v>3.0</v>
      </c>
      <c r="AF43" s="309">
        <f t="shared" si="7"/>
        <v>3</v>
      </c>
      <c r="AG43" s="63">
        <f t="shared" si="8"/>
        <v>3.333333333</v>
      </c>
    </row>
    <row r="44" ht="15.75" customHeight="1">
      <c r="A44" s="142">
        <v>37.0</v>
      </c>
      <c r="B44" s="118" t="s">
        <v>265</v>
      </c>
      <c r="C44" s="253" t="s">
        <v>45</v>
      </c>
      <c r="D44" s="119">
        <v>4.0</v>
      </c>
      <c r="E44" s="119">
        <v>4.0</v>
      </c>
      <c r="F44" s="305">
        <f t="shared" si="11"/>
        <v>4</v>
      </c>
      <c r="G44" s="119">
        <v>4.0</v>
      </c>
      <c r="H44" s="119">
        <v>4.0</v>
      </c>
      <c r="I44" s="209">
        <f t="shared" si="12"/>
        <v>4</v>
      </c>
      <c r="J44" s="121">
        <v>3.0</v>
      </c>
      <c r="K44" s="121">
        <v>3.0</v>
      </c>
      <c r="L44" s="121">
        <v>3.0</v>
      </c>
      <c r="M44" s="121">
        <v>3.0</v>
      </c>
      <c r="N44" s="121">
        <v>3.0</v>
      </c>
      <c r="O44" s="306">
        <f t="shared" si="3"/>
        <v>3</v>
      </c>
      <c r="P44" s="119">
        <v>3.0</v>
      </c>
      <c r="Q44" s="119">
        <v>4.0</v>
      </c>
      <c r="R44" s="119">
        <v>3.0</v>
      </c>
      <c r="S44" s="307">
        <f t="shared" si="4"/>
        <v>3.333333333</v>
      </c>
      <c r="T44" s="119">
        <v>3.0</v>
      </c>
      <c r="U44" s="119">
        <v>3.0</v>
      </c>
      <c r="V44" s="119">
        <v>3.0</v>
      </c>
      <c r="W44" s="308">
        <f t="shared" si="5"/>
        <v>3</v>
      </c>
      <c r="X44" s="119">
        <v>4.0</v>
      </c>
      <c r="Y44" s="119">
        <v>4.0</v>
      </c>
      <c r="Z44" s="119">
        <v>4.0</v>
      </c>
      <c r="AA44" s="119">
        <v>4.0</v>
      </c>
      <c r="AB44" s="212">
        <f t="shared" si="6"/>
        <v>4</v>
      </c>
      <c r="AC44" s="316">
        <v>3.0</v>
      </c>
      <c r="AD44" s="316">
        <v>3.0</v>
      </c>
      <c r="AE44" s="316">
        <v>3.0</v>
      </c>
      <c r="AF44" s="309">
        <f t="shared" si="7"/>
        <v>3</v>
      </c>
      <c r="AG44" s="63">
        <f t="shared" si="8"/>
        <v>3.333333333</v>
      </c>
    </row>
    <row r="45" ht="15.75" customHeight="1">
      <c r="A45" s="142">
        <v>38.0</v>
      </c>
      <c r="B45" s="130" t="s">
        <v>266</v>
      </c>
      <c r="C45" s="65" t="s">
        <v>45</v>
      </c>
      <c r="D45" s="119">
        <v>4.0</v>
      </c>
      <c r="E45" s="119">
        <v>4.0</v>
      </c>
      <c r="F45" s="305">
        <f t="shared" si="11"/>
        <v>4</v>
      </c>
      <c r="G45" s="119">
        <v>4.0</v>
      </c>
      <c r="H45" s="119">
        <v>4.0</v>
      </c>
      <c r="I45" s="209">
        <f t="shared" si="12"/>
        <v>4</v>
      </c>
      <c r="J45" s="121">
        <v>4.0</v>
      </c>
      <c r="K45" s="121">
        <v>4.0</v>
      </c>
      <c r="L45" s="121">
        <v>4.0</v>
      </c>
      <c r="M45" s="121">
        <v>4.0</v>
      </c>
      <c r="N45" s="121">
        <v>4.0</v>
      </c>
      <c r="O45" s="306">
        <f t="shared" si="3"/>
        <v>4</v>
      </c>
      <c r="P45" s="119">
        <v>3.0</v>
      </c>
      <c r="Q45" s="119">
        <v>3.0</v>
      </c>
      <c r="R45" s="119">
        <v>3.0</v>
      </c>
      <c r="S45" s="307">
        <f t="shared" si="4"/>
        <v>3</v>
      </c>
      <c r="T45" s="119">
        <v>4.0</v>
      </c>
      <c r="U45" s="119">
        <v>4.0</v>
      </c>
      <c r="V45" s="119">
        <v>4.0</v>
      </c>
      <c r="W45" s="308">
        <f t="shared" si="5"/>
        <v>4</v>
      </c>
      <c r="X45" s="119">
        <v>5.0</v>
      </c>
      <c r="Y45" s="119">
        <v>5.0</v>
      </c>
      <c r="Z45" s="119">
        <v>5.0</v>
      </c>
      <c r="AA45" s="119">
        <v>5.0</v>
      </c>
      <c r="AB45" s="212">
        <f t="shared" si="6"/>
        <v>5</v>
      </c>
      <c r="AC45" s="119">
        <v>4.0</v>
      </c>
      <c r="AD45" s="119">
        <v>4.0</v>
      </c>
      <c r="AE45" s="119">
        <v>4.0</v>
      </c>
      <c r="AF45" s="309">
        <f t="shared" si="7"/>
        <v>4</v>
      </c>
      <c r="AG45" s="63">
        <f t="shared" si="8"/>
        <v>4</v>
      </c>
    </row>
    <row r="46" ht="15.75" customHeight="1">
      <c r="A46" s="142">
        <v>39.0</v>
      </c>
      <c r="B46" s="130" t="s">
        <v>267</v>
      </c>
      <c r="C46" s="65" t="s">
        <v>45</v>
      </c>
      <c r="D46" s="119">
        <v>4.0</v>
      </c>
      <c r="E46" s="119">
        <v>4.0</v>
      </c>
      <c r="F46" s="305">
        <f t="shared" si="11"/>
        <v>4</v>
      </c>
      <c r="G46" s="119">
        <v>4.0</v>
      </c>
      <c r="H46" s="119">
        <v>4.0</v>
      </c>
      <c r="I46" s="209">
        <f t="shared" si="12"/>
        <v>4</v>
      </c>
      <c r="J46" s="121">
        <v>4.0</v>
      </c>
      <c r="K46" s="121">
        <v>4.0</v>
      </c>
      <c r="L46" s="121">
        <v>4.0</v>
      </c>
      <c r="M46" s="121">
        <v>4.0</v>
      </c>
      <c r="N46" s="121">
        <v>4.0</v>
      </c>
      <c r="O46" s="306">
        <f t="shared" si="3"/>
        <v>4</v>
      </c>
      <c r="P46" s="119">
        <v>5.0</v>
      </c>
      <c r="Q46" s="119">
        <v>5.0</v>
      </c>
      <c r="R46" s="119">
        <v>5.0</v>
      </c>
      <c r="S46" s="307">
        <f t="shared" si="4"/>
        <v>5</v>
      </c>
      <c r="T46" s="119">
        <v>4.0</v>
      </c>
      <c r="U46" s="119">
        <v>4.0</v>
      </c>
      <c r="V46" s="119">
        <v>4.0</v>
      </c>
      <c r="W46" s="308">
        <f t="shared" si="5"/>
        <v>4</v>
      </c>
      <c r="X46" s="119">
        <v>5.0</v>
      </c>
      <c r="Y46" s="119">
        <v>5.0</v>
      </c>
      <c r="Z46" s="119">
        <v>5.0</v>
      </c>
      <c r="AA46" s="119">
        <v>5.0</v>
      </c>
      <c r="AB46" s="212">
        <f t="shared" si="6"/>
        <v>5</v>
      </c>
      <c r="AC46" s="119">
        <v>4.0</v>
      </c>
      <c r="AD46" s="119">
        <v>4.0</v>
      </c>
      <c r="AE46" s="119">
        <v>4.0</v>
      </c>
      <c r="AF46" s="309">
        <f t="shared" si="7"/>
        <v>4</v>
      </c>
      <c r="AG46" s="63">
        <f t="shared" si="8"/>
        <v>4.2</v>
      </c>
    </row>
    <row r="47" ht="15.75" customHeight="1">
      <c r="A47" s="142">
        <v>40.0</v>
      </c>
      <c r="B47" s="130"/>
      <c r="C47" s="65" t="s">
        <v>44</v>
      </c>
      <c r="D47" s="119">
        <v>4.0</v>
      </c>
      <c r="E47" s="119">
        <v>4.0</v>
      </c>
      <c r="F47" s="305">
        <f t="shared" si="11"/>
        <v>4</v>
      </c>
      <c r="G47" s="119">
        <v>4.0</v>
      </c>
      <c r="H47" s="119">
        <v>4.0</v>
      </c>
      <c r="I47" s="209">
        <f t="shared" si="12"/>
        <v>4</v>
      </c>
      <c r="J47" s="121">
        <v>4.0</v>
      </c>
      <c r="K47" s="121">
        <v>4.0</v>
      </c>
      <c r="L47" s="121">
        <v>4.0</v>
      </c>
      <c r="M47" s="121">
        <v>4.0</v>
      </c>
      <c r="N47" s="121">
        <v>4.0</v>
      </c>
      <c r="O47" s="306">
        <f t="shared" si="3"/>
        <v>4</v>
      </c>
      <c r="P47" s="119">
        <v>4.0</v>
      </c>
      <c r="Q47" s="119">
        <v>4.0</v>
      </c>
      <c r="R47" s="119">
        <v>4.0</v>
      </c>
      <c r="S47" s="307">
        <f t="shared" si="4"/>
        <v>4</v>
      </c>
      <c r="T47" s="119">
        <v>4.0</v>
      </c>
      <c r="U47" s="119">
        <v>4.0</v>
      </c>
      <c r="V47" s="119">
        <v>4.0</v>
      </c>
      <c r="W47" s="308">
        <f t="shared" si="5"/>
        <v>4</v>
      </c>
      <c r="X47" s="119">
        <v>5.0</v>
      </c>
      <c r="Y47" s="119">
        <v>5.0</v>
      </c>
      <c r="Z47" s="119">
        <v>5.0</v>
      </c>
      <c r="AA47" s="119">
        <v>5.0</v>
      </c>
      <c r="AB47" s="212">
        <f t="shared" si="6"/>
        <v>5</v>
      </c>
      <c r="AC47" s="119">
        <v>4.0</v>
      </c>
      <c r="AD47" s="119">
        <v>4.0</v>
      </c>
      <c r="AE47" s="119">
        <v>4.0</v>
      </c>
      <c r="AF47" s="309">
        <f t="shared" si="7"/>
        <v>4</v>
      </c>
      <c r="AG47" s="63">
        <f t="shared" si="8"/>
        <v>4.1</v>
      </c>
    </row>
    <row r="48" ht="15.75" customHeight="1">
      <c r="A48" s="142">
        <v>41.0</v>
      </c>
      <c r="B48" s="87"/>
      <c r="C48" s="87"/>
      <c r="D48" s="87"/>
      <c r="E48" s="87"/>
      <c r="F48" s="305">
        <f t="shared" si="11"/>
        <v>0</v>
      </c>
      <c r="G48" s="87"/>
      <c r="H48" s="87"/>
      <c r="I48" s="209">
        <f t="shared" si="12"/>
        <v>0</v>
      </c>
      <c r="J48" s="87"/>
      <c r="K48" s="87"/>
      <c r="L48" s="87"/>
      <c r="M48" s="87"/>
      <c r="N48" s="87"/>
      <c r="O48" s="306">
        <f t="shared" si="3"/>
        <v>0</v>
      </c>
      <c r="P48" s="87"/>
      <c r="Q48" s="87"/>
      <c r="R48" s="87"/>
      <c r="S48" s="307">
        <f t="shared" si="4"/>
        <v>0</v>
      </c>
      <c r="T48" s="119"/>
      <c r="U48" s="119"/>
      <c r="V48" s="119"/>
      <c r="W48" s="308">
        <f t="shared" si="5"/>
        <v>0</v>
      </c>
      <c r="X48" s="119"/>
      <c r="Y48" s="119"/>
      <c r="Z48" s="119"/>
      <c r="AA48" s="119"/>
      <c r="AB48" s="212">
        <f t="shared" si="6"/>
        <v>0</v>
      </c>
      <c r="AC48" s="119"/>
      <c r="AD48" s="119"/>
      <c r="AE48" s="119"/>
      <c r="AF48" s="309">
        <f t="shared" si="7"/>
        <v>0</v>
      </c>
      <c r="AG48" s="63">
        <f t="shared" si="8"/>
        <v>0</v>
      </c>
    </row>
    <row r="49" ht="15.75" customHeight="1">
      <c r="A49" s="142">
        <v>42.0</v>
      </c>
      <c r="B49" s="87"/>
      <c r="C49" s="87"/>
      <c r="D49" s="87"/>
      <c r="E49" s="87"/>
      <c r="F49" s="305">
        <f t="shared" si="11"/>
        <v>0</v>
      </c>
      <c r="G49" s="87"/>
      <c r="H49" s="87"/>
      <c r="I49" s="209">
        <f t="shared" si="12"/>
        <v>0</v>
      </c>
      <c r="J49" s="87"/>
      <c r="K49" s="87"/>
      <c r="L49" s="87"/>
      <c r="M49" s="87"/>
      <c r="N49" s="87"/>
      <c r="O49" s="306">
        <f t="shared" si="3"/>
        <v>0</v>
      </c>
      <c r="P49" s="87"/>
      <c r="Q49" s="87"/>
      <c r="R49" s="87"/>
      <c r="S49" s="307">
        <f t="shared" si="4"/>
        <v>0</v>
      </c>
      <c r="T49" s="119"/>
      <c r="U49" s="119"/>
      <c r="V49" s="119"/>
      <c r="W49" s="308">
        <f t="shared" si="5"/>
        <v>0</v>
      </c>
      <c r="X49" s="119"/>
      <c r="Y49" s="119"/>
      <c r="Z49" s="119"/>
      <c r="AA49" s="119"/>
      <c r="AB49" s="212">
        <f t="shared" si="6"/>
        <v>0</v>
      </c>
      <c r="AC49" s="119"/>
      <c r="AD49" s="119"/>
      <c r="AE49" s="119"/>
      <c r="AF49" s="309">
        <f t="shared" si="7"/>
        <v>0</v>
      </c>
      <c r="AG49" s="63">
        <f t="shared" si="8"/>
        <v>0</v>
      </c>
    </row>
    <row r="50" ht="15.75" customHeight="1">
      <c r="AC50" s="119"/>
      <c r="AD50" s="119"/>
      <c r="AE50" s="11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6:B7"/>
    <mergeCell ref="C6:C7"/>
    <mergeCell ref="D6:F6"/>
    <mergeCell ref="G6:I6"/>
    <mergeCell ref="M6:O6"/>
    <mergeCell ref="P6:S6"/>
    <mergeCell ref="T6:W6"/>
    <mergeCell ref="X6:AB6"/>
    <mergeCell ref="AC6:AF6"/>
    <mergeCell ref="AG6:AG7"/>
    <mergeCell ref="A1:AG1"/>
    <mergeCell ref="C3:P3"/>
    <mergeCell ref="Q3:U3"/>
    <mergeCell ref="V3:AE3"/>
    <mergeCell ref="C4:P4"/>
    <mergeCell ref="V4:AE4"/>
    <mergeCell ref="A6:A7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44.78"/>
    <col customWidth="1" min="3" max="3" width="5.44"/>
    <col customWidth="1" min="4" max="4" width="5.11"/>
    <col customWidth="1" min="5" max="5" width="4.78"/>
    <col customWidth="1" min="6" max="6" width="5.44"/>
    <col customWidth="1" min="7" max="7" width="4.44"/>
    <col customWidth="1" min="8" max="9" width="5.0"/>
    <col customWidth="1" min="10" max="10" width="5.11"/>
    <col customWidth="1" min="11" max="11" width="4.67"/>
    <col customWidth="1" min="12" max="14" width="4.78"/>
    <col customWidth="1" min="15" max="15" width="4.67"/>
    <col customWidth="1" min="16" max="16" width="4.78"/>
    <col customWidth="1" min="17" max="18" width="5.11"/>
    <col customWidth="1" min="19" max="19" width="4.78"/>
    <col customWidth="1" min="20" max="21" width="4.67"/>
    <col customWidth="1" min="22" max="23" width="4.33"/>
    <col customWidth="1" min="24" max="24" width="5.0"/>
    <col customWidth="1" min="25" max="25" width="4.67"/>
    <col customWidth="1" min="26" max="26" width="4.78"/>
    <col customWidth="1" min="27" max="27" width="4.67"/>
    <col customWidth="1" min="28" max="28" width="4.44"/>
    <col customWidth="1" min="29" max="30" width="4.78"/>
    <col customWidth="1" min="31" max="31" width="4.67"/>
    <col customWidth="1" min="32" max="32" width="4.78"/>
    <col customWidth="1" min="33" max="39" width="6.67"/>
  </cols>
  <sheetData>
    <row r="1" ht="21.0" customHeight="1">
      <c r="A1" s="173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324"/>
      <c r="AI1" s="324"/>
      <c r="AJ1" s="324"/>
      <c r="AK1" s="324"/>
      <c r="AL1" s="324"/>
      <c r="AM1" s="324"/>
    </row>
    <row r="2" ht="15.75" customHeight="1">
      <c r="A2" s="261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4"/>
      <c r="O2" s="264"/>
      <c r="AG2" s="7"/>
    </row>
    <row r="3" ht="24.75" customHeight="1">
      <c r="A3" s="261"/>
      <c r="B3" s="9" t="s">
        <v>1</v>
      </c>
      <c r="C3" s="10" t="s">
        <v>2</v>
      </c>
      <c r="Q3" s="9" t="s">
        <v>3</v>
      </c>
      <c r="V3" s="11" t="s">
        <v>268</v>
      </c>
      <c r="AG3" s="7"/>
    </row>
    <row r="4" ht="23.25" customHeight="1">
      <c r="A4" s="265"/>
      <c r="B4" s="13" t="s">
        <v>5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7</v>
      </c>
      <c r="R4" s="13"/>
      <c r="S4" s="13"/>
      <c r="T4" s="13"/>
      <c r="U4" s="13"/>
      <c r="V4" s="174" t="s">
        <v>269</v>
      </c>
      <c r="W4" s="15"/>
      <c r="X4" s="15"/>
      <c r="Y4" s="15"/>
      <c r="Z4" s="15"/>
      <c r="AA4" s="15"/>
      <c r="AB4" s="15"/>
      <c r="AC4" s="15"/>
      <c r="AD4" s="15"/>
      <c r="AE4" s="15"/>
      <c r="AF4" s="175"/>
      <c r="AG4" s="266"/>
      <c r="AH4" s="325"/>
      <c r="AI4" s="325"/>
      <c r="AJ4" s="325"/>
      <c r="AK4" s="325"/>
      <c r="AL4" s="325"/>
      <c r="AM4" s="325"/>
    </row>
    <row r="5" ht="15.75" customHeight="1">
      <c r="A5" s="19"/>
      <c r="B5" s="19"/>
      <c r="C5" s="19"/>
    </row>
    <row r="6" ht="15.75" customHeight="1">
      <c r="A6" s="176" t="s">
        <v>9</v>
      </c>
      <c r="B6" s="177" t="s">
        <v>10</v>
      </c>
      <c r="C6" s="178" t="s">
        <v>11</v>
      </c>
      <c r="D6" s="22" t="s">
        <v>12</v>
      </c>
      <c r="E6" s="23"/>
      <c r="F6" s="24"/>
      <c r="G6" s="179" t="s">
        <v>53</v>
      </c>
      <c r="H6" s="23"/>
      <c r="I6" s="24"/>
      <c r="J6" s="268" t="s">
        <v>131</v>
      </c>
      <c r="K6" s="269" t="s">
        <v>132</v>
      </c>
      <c r="L6" s="270" t="s">
        <v>133</v>
      </c>
      <c r="M6" s="271" t="s">
        <v>55</v>
      </c>
      <c r="N6" s="23"/>
      <c r="O6" s="24"/>
      <c r="P6" s="272" t="s">
        <v>15</v>
      </c>
      <c r="Q6" s="23"/>
      <c r="R6" s="23"/>
      <c r="S6" s="24"/>
      <c r="T6" s="181" t="s">
        <v>16</v>
      </c>
      <c r="U6" s="23"/>
      <c r="V6" s="23"/>
      <c r="W6" s="24"/>
      <c r="X6" s="273" t="s">
        <v>17</v>
      </c>
      <c r="Y6" s="23"/>
      <c r="Z6" s="23"/>
      <c r="AA6" s="23"/>
      <c r="AB6" s="23"/>
      <c r="AC6" s="274" t="s">
        <v>18</v>
      </c>
      <c r="AD6" s="23"/>
      <c r="AE6" s="23"/>
      <c r="AF6" s="24"/>
      <c r="AG6" s="275" t="s">
        <v>19</v>
      </c>
      <c r="AH6" s="326"/>
      <c r="AI6" s="326"/>
      <c r="AJ6" s="326"/>
      <c r="AK6" s="326"/>
      <c r="AL6" s="326"/>
      <c r="AM6" s="326"/>
    </row>
    <row r="7" ht="48.0" customHeight="1">
      <c r="A7" s="188"/>
      <c r="B7" s="189"/>
      <c r="C7" s="190"/>
      <c r="D7" s="217" t="s">
        <v>134</v>
      </c>
      <c r="E7" s="218" t="s">
        <v>135</v>
      </c>
      <c r="F7" s="219" t="s">
        <v>20</v>
      </c>
      <c r="G7" s="220" t="s">
        <v>134</v>
      </c>
      <c r="H7" s="221" t="s">
        <v>135</v>
      </c>
      <c r="I7" s="276" t="s">
        <v>20</v>
      </c>
      <c r="J7" s="223" t="s">
        <v>136</v>
      </c>
      <c r="K7" s="277" t="s">
        <v>54</v>
      </c>
      <c r="L7" s="278" t="s">
        <v>137</v>
      </c>
      <c r="M7" s="279" t="s">
        <v>138</v>
      </c>
      <c r="N7" s="280" t="s">
        <v>139</v>
      </c>
      <c r="O7" s="281" t="s">
        <v>20</v>
      </c>
      <c r="P7" s="282" t="s">
        <v>140</v>
      </c>
      <c r="Q7" s="283" t="s">
        <v>141</v>
      </c>
      <c r="R7" s="284" t="s">
        <v>142</v>
      </c>
      <c r="S7" s="284" t="s">
        <v>20</v>
      </c>
      <c r="T7" s="229" t="s">
        <v>143</v>
      </c>
      <c r="U7" s="230" t="s">
        <v>144</v>
      </c>
      <c r="V7" s="230" t="s">
        <v>145</v>
      </c>
      <c r="W7" s="285" t="s">
        <v>20</v>
      </c>
      <c r="X7" s="286" t="s">
        <v>146</v>
      </c>
      <c r="Y7" s="287" t="s">
        <v>147</v>
      </c>
      <c r="Z7" s="287" t="s">
        <v>148</v>
      </c>
      <c r="AA7" s="288" t="s">
        <v>149</v>
      </c>
      <c r="AB7" s="289" t="s">
        <v>20</v>
      </c>
      <c r="AC7" s="290" t="s">
        <v>150</v>
      </c>
      <c r="AD7" s="291" t="s">
        <v>151</v>
      </c>
      <c r="AE7" s="291" t="s">
        <v>152</v>
      </c>
      <c r="AF7" s="292" t="s">
        <v>20</v>
      </c>
      <c r="AG7" s="207"/>
      <c r="AH7" s="326"/>
      <c r="AI7" s="326"/>
      <c r="AJ7" s="326"/>
      <c r="AK7" s="326"/>
      <c r="AL7" s="326"/>
      <c r="AM7" s="326"/>
    </row>
    <row r="8" ht="15.75" customHeight="1">
      <c r="A8" s="293">
        <v>1.0</v>
      </c>
      <c r="B8" s="312" t="s">
        <v>270</v>
      </c>
      <c r="C8" s="155" t="s">
        <v>44</v>
      </c>
      <c r="D8" s="119">
        <v>6.0</v>
      </c>
      <c r="E8" s="119">
        <v>6.0</v>
      </c>
      <c r="F8" s="296">
        <f t="shared" ref="F8:F49" si="1">SUM(D8:E8)/2</f>
        <v>6</v>
      </c>
      <c r="G8" s="119">
        <v>6.0</v>
      </c>
      <c r="H8" s="119">
        <v>6.0</v>
      </c>
      <c r="I8" s="297">
        <f t="shared" ref="I8:I49" si="2">SUM(G8:H8)/2</f>
        <v>6</v>
      </c>
      <c r="J8" s="121">
        <v>6.0</v>
      </c>
      <c r="K8" s="119">
        <v>5.0</v>
      </c>
      <c r="L8" s="119">
        <v>5.0</v>
      </c>
      <c r="M8" s="119">
        <v>6.0</v>
      </c>
      <c r="N8" s="119">
        <v>5.0</v>
      </c>
      <c r="O8" s="298">
        <f t="shared" ref="O8:O22" si="3">SUM(M8:N8)/2</f>
        <v>5.5</v>
      </c>
      <c r="P8" s="119">
        <v>6.0</v>
      </c>
      <c r="Q8" s="119">
        <v>6.0</v>
      </c>
      <c r="R8" s="119">
        <v>5.0</v>
      </c>
      <c r="S8" s="299">
        <f t="shared" ref="S8:S16" si="4">SUM(P8:R8)/3</f>
        <v>5.666666667</v>
      </c>
      <c r="T8" s="119">
        <v>5.0</v>
      </c>
      <c r="U8" s="119">
        <v>5.0</v>
      </c>
      <c r="V8" s="119">
        <v>5.0</v>
      </c>
      <c r="W8" s="300">
        <f t="shared" ref="W8:W49" si="5">SUM(T8:V8)/3</f>
        <v>5</v>
      </c>
      <c r="X8" s="119">
        <v>6.0</v>
      </c>
      <c r="Y8" s="119">
        <v>6.0</v>
      </c>
      <c r="Z8" s="119">
        <v>6.0</v>
      </c>
      <c r="AA8" s="119">
        <v>5.0</v>
      </c>
      <c r="AB8" s="301">
        <f t="shared" ref="AB8:AB49" si="6">SUM(X8:AA8)/4</f>
        <v>5.75</v>
      </c>
      <c r="AC8" s="316">
        <v>6.0</v>
      </c>
      <c r="AD8" s="316">
        <v>6.0</v>
      </c>
      <c r="AE8" s="316">
        <v>6.0</v>
      </c>
      <c r="AF8" s="303">
        <f t="shared" ref="AF8:AF49" si="7">SUM(AC8:AE8)/3</f>
        <v>6</v>
      </c>
      <c r="AG8" s="121">
        <f>SUM(AF8,AB8,W8,S8,O8,L8,K8,J8,I8,F8)/10</f>
        <v>5.591666667</v>
      </c>
      <c r="AH8" s="172"/>
      <c r="AI8" s="172"/>
      <c r="AJ8" s="172"/>
      <c r="AK8" s="172"/>
      <c r="AL8" s="172"/>
      <c r="AM8" s="172"/>
    </row>
    <row r="9" ht="15.75" customHeight="1">
      <c r="A9" s="142">
        <v>2.0</v>
      </c>
      <c r="B9" s="312" t="s">
        <v>271</v>
      </c>
      <c r="C9" s="62" t="s">
        <v>45</v>
      </c>
      <c r="D9" s="119">
        <v>5.0</v>
      </c>
      <c r="E9" s="119">
        <v>5.0</v>
      </c>
      <c r="F9" s="305">
        <f t="shared" si="1"/>
        <v>5</v>
      </c>
      <c r="G9" s="119">
        <v>3.0</v>
      </c>
      <c r="H9" s="119">
        <v>3.0</v>
      </c>
      <c r="I9" s="209">
        <f t="shared" si="2"/>
        <v>3</v>
      </c>
      <c r="J9" s="91">
        <v>4.0</v>
      </c>
      <c r="K9" s="119">
        <v>3.0</v>
      </c>
      <c r="L9" s="119">
        <v>3.0</v>
      </c>
      <c r="M9" s="121">
        <v>3.0</v>
      </c>
      <c r="N9" s="119">
        <v>3.0</v>
      </c>
      <c r="O9" s="306">
        <f t="shared" si="3"/>
        <v>3</v>
      </c>
      <c r="P9" s="119">
        <v>3.0</v>
      </c>
      <c r="Q9" s="119">
        <v>4.0</v>
      </c>
      <c r="R9" s="119">
        <v>3.0</v>
      </c>
      <c r="S9" s="307">
        <f t="shared" si="4"/>
        <v>3.333333333</v>
      </c>
      <c r="T9" s="119">
        <v>4.0</v>
      </c>
      <c r="U9" s="119">
        <v>3.0</v>
      </c>
      <c r="V9" s="119">
        <v>3.0</v>
      </c>
      <c r="W9" s="308">
        <f t="shared" si="5"/>
        <v>3.333333333</v>
      </c>
      <c r="X9" s="119">
        <v>4.0</v>
      </c>
      <c r="Y9" s="119">
        <v>4.0</v>
      </c>
      <c r="Z9" s="119">
        <v>4.0</v>
      </c>
      <c r="AA9" s="119">
        <v>3.0</v>
      </c>
      <c r="AB9" s="212">
        <f t="shared" si="6"/>
        <v>3.75</v>
      </c>
      <c r="AC9" s="316">
        <v>2.0</v>
      </c>
      <c r="AD9" s="316">
        <v>2.0</v>
      </c>
      <c r="AE9" s="316">
        <v>2.0</v>
      </c>
      <c r="AF9" s="309">
        <f t="shared" si="7"/>
        <v>2</v>
      </c>
      <c r="AG9" s="63">
        <f>SUM(AF9,AB9,W9,S9,O9,L9,K9,M9,I9,F9)/10</f>
        <v>3.241666667</v>
      </c>
      <c r="AH9" s="172"/>
      <c r="AI9" s="172"/>
      <c r="AJ9" s="172"/>
      <c r="AK9" s="172"/>
      <c r="AL9" s="172"/>
      <c r="AM9" s="172"/>
    </row>
    <row r="10" ht="15.75" customHeight="1">
      <c r="A10" s="142">
        <v>3.0</v>
      </c>
      <c r="B10" s="312" t="s">
        <v>272</v>
      </c>
      <c r="C10" s="62" t="s">
        <v>45</v>
      </c>
      <c r="D10" s="119">
        <v>6.0</v>
      </c>
      <c r="E10" s="119">
        <v>6.0</v>
      </c>
      <c r="F10" s="305">
        <f t="shared" si="1"/>
        <v>6</v>
      </c>
      <c r="G10" s="119">
        <v>6.0</v>
      </c>
      <c r="H10" s="119">
        <v>6.0</v>
      </c>
      <c r="I10" s="209">
        <f t="shared" si="2"/>
        <v>6</v>
      </c>
      <c r="J10" s="121">
        <v>6.0</v>
      </c>
      <c r="K10" s="119">
        <v>6.0</v>
      </c>
      <c r="L10" s="119">
        <v>6.0</v>
      </c>
      <c r="M10" s="119">
        <v>6.0</v>
      </c>
      <c r="N10" s="119">
        <v>6.0</v>
      </c>
      <c r="O10" s="306">
        <f t="shared" si="3"/>
        <v>6</v>
      </c>
      <c r="P10" s="119">
        <v>6.0</v>
      </c>
      <c r="Q10" s="119">
        <v>6.0</v>
      </c>
      <c r="R10" s="119">
        <v>6.0</v>
      </c>
      <c r="S10" s="307">
        <f t="shared" si="4"/>
        <v>6</v>
      </c>
      <c r="T10" s="119">
        <v>6.0</v>
      </c>
      <c r="U10" s="119">
        <v>6.0</v>
      </c>
      <c r="V10" s="119">
        <v>6.0</v>
      </c>
      <c r="W10" s="308">
        <f t="shared" si="5"/>
        <v>6</v>
      </c>
      <c r="X10" s="119">
        <v>6.0</v>
      </c>
      <c r="Y10" s="119">
        <v>6.0</v>
      </c>
      <c r="Z10" s="119">
        <v>6.0</v>
      </c>
      <c r="AA10" s="119">
        <v>5.0</v>
      </c>
      <c r="AB10" s="212">
        <f t="shared" si="6"/>
        <v>5.75</v>
      </c>
      <c r="AC10" s="316">
        <v>6.0</v>
      </c>
      <c r="AD10" s="316">
        <v>6.0</v>
      </c>
      <c r="AE10" s="316">
        <v>6.0</v>
      </c>
      <c r="AF10" s="309">
        <f t="shared" si="7"/>
        <v>6</v>
      </c>
      <c r="AG10" s="63">
        <f t="shared" ref="AG10:AG30" si="8">SUM(AF10,AB10,W10,S10,O10,L10,K10,J10,I10,F10)/10</f>
        <v>5.975</v>
      </c>
      <c r="AH10" s="172"/>
      <c r="AI10" s="172"/>
      <c r="AJ10" s="172"/>
      <c r="AK10" s="172"/>
      <c r="AL10" s="172"/>
      <c r="AM10" s="172"/>
    </row>
    <row r="11" ht="15.75" customHeight="1">
      <c r="A11" s="142">
        <v>4.0</v>
      </c>
      <c r="B11" s="312" t="s">
        <v>273</v>
      </c>
      <c r="C11" s="62" t="s">
        <v>45</v>
      </c>
      <c r="D11" s="119">
        <v>6.0</v>
      </c>
      <c r="E11" s="119">
        <v>6.0</v>
      </c>
      <c r="F11" s="305">
        <f t="shared" si="1"/>
        <v>6</v>
      </c>
      <c r="G11" s="119">
        <v>6.0</v>
      </c>
      <c r="H11" s="119">
        <v>6.0</v>
      </c>
      <c r="I11" s="209">
        <f t="shared" si="2"/>
        <v>6</v>
      </c>
      <c r="J11" s="121">
        <v>6.0</v>
      </c>
      <c r="K11" s="119">
        <v>6.0</v>
      </c>
      <c r="L11" s="119">
        <v>6.0</v>
      </c>
      <c r="M11" s="119">
        <v>6.0</v>
      </c>
      <c r="N11" s="119">
        <v>6.0</v>
      </c>
      <c r="O11" s="306">
        <f t="shared" si="3"/>
        <v>6</v>
      </c>
      <c r="P11" s="119">
        <v>6.0</v>
      </c>
      <c r="Q11" s="119">
        <v>6.0</v>
      </c>
      <c r="R11" s="119">
        <v>6.0</v>
      </c>
      <c r="S11" s="307">
        <f t="shared" si="4"/>
        <v>6</v>
      </c>
      <c r="T11" s="119">
        <v>6.0</v>
      </c>
      <c r="U11" s="119">
        <v>6.0</v>
      </c>
      <c r="V11" s="119">
        <v>6.0</v>
      </c>
      <c r="W11" s="308">
        <f t="shared" si="5"/>
        <v>6</v>
      </c>
      <c r="X11" s="119">
        <v>6.0</v>
      </c>
      <c r="Y11" s="119">
        <v>6.0</v>
      </c>
      <c r="Z11" s="119">
        <v>6.0</v>
      </c>
      <c r="AA11" s="119">
        <v>5.0</v>
      </c>
      <c r="AB11" s="212">
        <f t="shared" si="6"/>
        <v>5.75</v>
      </c>
      <c r="AC11" s="316">
        <v>6.0</v>
      </c>
      <c r="AD11" s="316">
        <v>6.0</v>
      </c>
      <c r="AE11" s="316">
        <v>6.0</v>
      </c>
      <c r="AF11" s="309">
        <f t="shared" si="7"/>
        <v>6</v>
      </c>
      <c r="AG11" s="63">
        <f t="shared" si="8"/>
        <v>5.975</v>
      </c>
      <c r="AH11" s="172"/>
      <c r="AI11" s="172"/>
      <c r="AJ11" s="172"/>
      <c r="AK11" s="172"/>
      <c r="AL11" s="172"/>
      <c r="AM11" s="172"/>
    </row>
    <row r="12" ht="15.75" customHeight="1">
      <c r="A12" s="142">
        <v>5.0</v>
      </c>
      <c r="B12" s="312" t="s">
        <v>274</v>
      </c>
      <c r="C12" s="62" t="s">
        <v>44</v>
      </c>
      <c r="D12" s="119">
        <v>5.0</v>
      </c>
      <c r="E12" s="119">
        <v>5.0</v>
      </c>
      <c r="F12" s="305">
        <f t="shared" si="1"/>
        <v>5</v>
      </c>
      <c r="G12" s="119">
        <v>5.0</v>
      </c>
      <c r="H12" s="88">
        <v>5.0</v>
      </c>
      <c r="I12" s="209">
        <f t="shared" si="2"/>
        <v>5</v>
      </c>
      <c r="J12" s="121">
        <v>4.0</v>
      </c>
      <c r="K12" s="119">
        <v>3.0</v>
      </c>
      <c r="L12" s="119">
        <v>4.0</v>
      </c>
      <c r="M12" s="119">
        <v>5.0</v>
      </c>
      <c r="N12" s="119">
        <v>4.0</v>
      </c>
      <c r="O12" s="306">
        <f t="shared" si="3"/>
        <v>4.5</v>
      </c>
      <c r="P12" s="119">
        <v>4.0</v>
      </c>
      <c r="Q12" s="119">
        <v>5.0</v>
      </c>
      <c r="R12" s="119">
        <v>4.0</v>
      </c>
      <c r="S12" s="307">
        <f t="shared" si="4"/>
        <v>4.333333333</v>
      </c>
      <c r="T12" s="119">
        <v>4.0</v>
      </c>
      <c r="U12" s="119">
        <v>4.0</v>
      </c>
      <c r="V12" s="119">
        <v>4.0</v>
      </c>
      <c r="W12" s="308">
        <f t="shared" si="5"/>
        <v>4</v>
      </c>
      <c r="X12" s="119">
        <v>6.0</v>
      </c>
      <c r="Y12" s="119">
        <v>6.0</v>
      </c>
      <c r="Z12" s="119">
        <v>6.0</v>
      </c>
      <c r="AA12" s="119">
        <v>4.0</v>
      </c>
      <c r="AB12" s="212">
        <f t="shared" si="6"/>
        <v>5.5</v>
      </c>
      <c r="AC12" s="316">
        <v>4.0</v>
      </c>
      <c r="AD12" s="316">
        <v>4.0</v>
      </c>
      <c r="AE12" s="316">
        <v>4.0</v>
      </c>
      <c r="AF12" s="309">
        <f t="shared" si="7"/>
        <v>4</v>
      </c>
      <c r="AG12" s="63">
        <f t="shared" si="8"/>
        <v>4.333333333</v>
      </c>
      <c r="AH12" s="172"/>
      <c r="AI12" s="172"/>
      <c r="AJ12" s="172"/>
      <c r="AK12" s="172"/>
      <c r="AL12" s="172"/>
      <c r="AM12" s="172"/>
    </row>
    <row r="13" ht="15.75" customHeight="1">
      <c r="A13" s="142">
        <v>6.0</v>
      </c>
      <c r="B13" s="312" t="s">
        <v>275</v>
      </c>
      <c r="C13" s="62" t="s">
        <v>44</v>
      </c>
      <c r="D13" s="119">
        <v>5.0</v>
      </c>
      <c r="E13" s="119">
        <v>5.0</v>
      </c>
      <c r="F13" s="305">
        <f t="shared" si="1"/>
        <v>5</v>
      </c>
      <c r="G13" s="119">
        <v>5.0</v>
      </c>
      <c r="H13" s="88">
        <v>5.0</v>
      </c>
      <c r="I13" s="209">
        <f t="shared" si="2"/>
        <v>5</v>
      </c>
      <c r="J13" s="121">
        <v>4.0</v>
      </c>
      <c r="K13" s="119">
        <v>3.0</v>
      </c>
      <c r="L13" s="119">
        <v>4.0</v>
      </c>
      <c r="M13" s="119">
        <v>5.0</v>
      </c>
      <c r="N13" s="119">
        <v>4.0</v>
      </c>
      <c r="O13" s="306">
        <f t="shared" si="3"/>
        <v>4.5</v>
      </c>
      <c r="P13" s="119">
        <v>4.0</v>
      </c>
      <c r="Q13" s="119">
        <v>5.0</v>
      </c>
      <c r="R13" s="119">
        <v>4.0</v>
      </c>
      <c r="S13" s="307">
        <f t="shared" si="4"/>
        <v>4.333333333</v>
      </c>
      <c r="T13" s="119">
        <v>4.0</v>
      </c>
      <c r="U13" s="119">
        <v>4.0</v>
      </c>
      <c r="V13" s="119">
        <v>4.0</v>
      </c>
      <c r="W13" s="308">
        <f t="shared" si="5"/>
        <v>4</v>
      </c>
      <c r="X13" s="119">
        <v>6.0</v>
      </c>
      <c r="Y13" s="119">
        <v>6.0</v>
      </c>
      <c r="Z13" s="119">
        <v>6.0</v>
      </c>
      <c r="AA13" s="119">
        <v>5.0</v>
      </c>
      <c r="AB13" s="212">
        <f t="shared" si="6"/>
        <v>5.75</v>
      </c>
      <c r="AC13" s="316">
        <v>4.0</v>
      </c>
      <c r="AD13" s="316">
        <v>4.0</v>
      </c>
      <c r="AE13" s="316">
        <v>4.0</v>
      </c>
      <c r="AF13" s="309">
        <f t="shared" si="7"/>
        <v>4</v>
      </c>
      <c r="AG13" s="63">
        <f t="shared" si="8"/>
        <v>4.358333333</v>
      </c>
      <c r="AH13" s="172"/>
      <c r="AI13" s="172"/>
      <c r="AJ13" s="172"/>
      <c r="AK13" s="172"/>
      <c r="AL13" s="172"/>
      <c r="AM13" s="172"/>
    </row>
    <row r="14" ht="15.75" customHeight="1">
      <c r="A14" s="142">
        <v>7.0</v>
      </c>
      <c r="B14" s="312" t="s">
        <v>276</v>
      </c>
      <c r="C14" s="62" t="s">
        <v>45</v>
      </c>
      <c r="D14" s="119">
        <v>6.0</v>
      </c>
      <c r="E14" s="119">
        <v>6.0</v>
      </c>
      <c r="F14" s="305">
        <f t="shared" si="1"/>
        <v>6</v>
      </c>
      <c r="G14" s="119">
        <v>6.0</v>
      </c>
      <c r="H14" s="88">
        <v>6.0</v>
      </c>
      <c r="I14" s="209">
        <f t="shared" si="2"/>
        <v>6</v>
      </c>
      <c r="J14" s="121">
        <v>5.0</v>
      </c>
      <c r="K14" s="119">
        <v>4.0</v>
      </c>
      <c r="L14" s="119">
        <v>5.0</v>
      </c>
      <c r="M14" s="119">
        <v>5.0</v>
      </c>
      <c r="N14" s="119">
        <v>4.0</v>
      </c>
      <c r="O14" s="306">
        <f t="shared" si="3"/>
        <v>4.5</v>
      </c>
      <c r="P14" s="119">
        <v>5.0</v>
      </c>
      <c r="Q14" s="119">
        <v>5.0</v>
      </c>
      <c r="R14" s="119">
        <v>5.0</v>
      </c>
      <c r="S14" s="307">
        <f t="shared" si="4"/>
        <v>5</v>
      </c>
      <c r="T14" s="119">
        <v>5.0</v>
      </c>
      <c r="U14" s="119">
        <v>5.0</v>
      </c>
      <c r="V14" s="119">
        <v>5.0</v>
      </c>
      <c r="W14" s="308">
        <f t="shared" si="5"/>
        <v>5</v>
      </c>
      <c r="X14" s="119">
        <v>6.0</v>
      </c>
      <c r="Y14" s="119">
        <v>6.0</v>
      </c>
      <c r="Z14" s="119">
        <v>6.0</v>
      </c>
      <c r="AA14" s="119">
        <v>5.0</v>
      </c>
      <c r="AB14" s="212">
        <f t="shared" si="6"/>
        <v>5.75</v>
      </c>
      <c r="AC14" s="316">
        <v>5.0</v>
      </c>
      <c r="AD14" s="316">
        <v>5.0</v>
      </c>
      <c r="AE14" s="316">
        <v>5.0</v>
      </c>
      <c r="AF14" s="309">
        <f t="shared" si="7"/>
        <v>5</v>
      </c>
      <c r="AG14" s="63">
        <f t="shared" si="8"/>
        <v>5.125</v>
      </c>
      <c r="AH14" s="172"/>
      <c r="AI14" s="172"/>
      <c r="AJ14" s="172"/>
      <c r="AK14" s="172"/>
      <c r="AL14" s="172"/>
      <c r="AM14" s="172"/>
    </row>
    <row r="15" ht="15.75" customHeight="1">
      <c r="A15" s="142">
        <v>8.0</v>
      </c>
      <c r="B15" s="312" t="s">
        <v>277</v>
      </c>
      <c r="C15" s="62" t="s">
        <v>44</v>
      </c>
      <c r="D15" s="119">
        <v>6.0</v>
      </c>
      <c r="E15" s="119">
        <v>6.0</v>
      </c>
      <c r="F15" s="305">
        <f t="shared" si="1"/>
        <v>6</v>
      </c>
      <c r="G15" s="119">
        <v>5.0</v>
      </c>
      <c r="H15" s="88">
        <v>5.0</v>
      </c>
      <c r="I15" s="209">
        <f t="shared" si="2"/>
        <v>5</v>
      </c>
      <c r="J15" s="121">
        <v>5.0</v>
      </c>
      <c r="K15" s="119">
        <v>4.0</v>
      </c>
      <c r="L15" s="119">
        <v>4.0</v>
      </c>
      <c r="M15" s="119">
        <v>5.0</v>
      </c>
      <c r="N15" s="119">
        <v>4.0</v>
      </c>
      <c r="O15" s="306">
        <f t="shared" si="3"/>
        <v>4.5</v>
      </c>
      <c r="P15" s="119">
        <v>4.0</v>
      </c>
      <c r="Q15" s="119">
        <v>6.0</v>
      </c>
      <c r="R15" s="119">
        <v>4.0</v>
      </c>
      <c r="S15" s="307">
        <f t="shared" si="4"/>
        <v>4.666666667</v>
      </c>
      <c r="T15" s="119">
        <v>4.0</v>
      </c>
      <c r="U15" s="119">
        <v>4.0</v>
      </c>
      <c r="V15" s="119">
        <v>4.0</v>
      </c>
      <c r="W15" s="308">
        <f t="shared" si="5"/>
        <v>4</v>
      </c>
      <c r="X15" s="119">
        <v>6.0</v>
      </c>
      <c r="Y15" s="119">
        <v>6.0</v>
      </c>
      <c r="Z15" s="119">
        <v>6.0</v>
      </c>
      <c r="AA15" s="119">
        <v>5.0</v>
      </c>
      <c r="AB15" s="212">
        <f t="shared" si="6"/>
        <v>5.75</v>
      </c>
      <c r="AC15" s="316">
        <v>4.0</v>
      </c>
      <c r="AD15" s="316">
        <v>4.0</v>
      </c>
      <c r="AE15" s="316">
        <v>4.0</v>
      </c>
      <c r="AF15" s="309">
        <f t="shared" si="7"/>
        <v>4</v>
      </c>
      <c r="AG15" s="63">
        <f t="shared" si="8"/>
        <v>4.691666667</v>
      </c>
      <c r="AH15" s="172"/>
      <c r="AI15" s="172"/>
      <c r="AJ15" s="172"/>
      <c r="AK15" s="172"/>
      <c r="AL15" s="172"/>
      <c r="AM15" s="172"/>
    </row>
    <row r="16" ht="15.75" customHeight="1">
      <c r="A16" s="142">
        <v>9.0</v>
      </c>
      <c r="B16" s="312" t="s">
        <v>278</v>
      </c>
      <c r="C16" s="62" t="s">
        <v>45</v>
      </c>
      <c r="D16" s="119">
        <v>6.0</v>
      </c>
      <c r="E16" s="119">
        <v>6.0</v>
      </c>
      <c r="F16" s="305">
        <f t="shared" si="1"/>
        <v>6</v>
      </c>
      <c r="G16" s="119">
        <v>6.0</v>
      </c>
      <c r="H16" s="88">
        <v>6.0</v>
      </c>
      <c r="I16" s="209">
        <f t="shared" si="2"/>
        <v>6</v>
      </c>
      <c r="J16" s="121">
        <v>6.0</v>
      </c>
      <c r="K16" s="119">
        <v>5.0</v>
      </c>
      <c r="L16" s="119">
        <v>6.0</v>
      </c>
      <c r="M16" s="119">
        <v>6.0</v>
      </c>
      <c r="N16" s="119">
        <v>6.0</v>
      </c>
      <c r="O16" s="306">
        <f t="shared" si="3"/>
        <v>6</v>
      </c>
      <c r="P16" s="119">
        <v>5.0</v>
      </c>
      <c r="Q16" s="119">
        <v>6.0</v>
      </c>
      <c r="R16" s="119">
        <v>5.0</v>
      </c>
      <c r="S16" s="307">
        <f t="shared" si="4"/>
        <v>5.333333333</v>
      </c>
      <c r="T16" s="119">
        <v>6.0</v>
      </c>
      <c r="U16" s="119">
        <v>6.0</v>
      </c>
      <c r="V16" s="119">
        <v>5.0</v>
      </c>
      <c r="W16" s="308">
        <f t="shared" si="5"/>
        <v>5.666666667</v>
      </c>
      <c r="X16" s="119">
        <v>6.0</v>
      </c>
      <c r="Y16" s="119">
        <v>6.0</v>
      </c>
      <c r="Z16" s="119">
        <v>6.0</v>
      </c>
      <c r="AA16" s="119">
        <v>5.0</v>
      </c>
      <c r="AB16" s="212">
        <f t="shared" si="6"/>
        <v>5.75</v>
      </c>
      <c r="AC16" s="316">
        <v>6.0</v>
      </c>
      <c r="AD16" s="316">
        <v>5.0</v>
      </c>
      <c r="AE16" s="316">
        <v>6.0</v>
      </c>
      <c r="AF16" s="309">
        <f t="shared" si="7"/>
        <v>5.666666667</v>
      </c>
      <c r="AG16" s="63">
        <f t="shared" si="8"/>
        <v>5.741666667</v>
      </c>
      <c r="AH16" s="172"/>
      <c r="AI16" s="172"/>
      <c r="AJ16" s="172"/>
      <c r="AK16" s="172"/>
      <c r="AL16" s="172"/>
      <c r="AM16" s="172"/>
    </row>
    <row r="17" ht="15.75" customHeight="1">
      <c r="A17" s="142">
        <v>10.0</v>
      </c>
      <c r="B17" s="312" t="s">
        <v>279</v>
      </c>
      <c r="C17" s="62" t="s">
        <v>45</v>
      </c>
      <c r="D17" s="119">
        <v>5.0</v>
      </c>
      <c r="E17" s="119">
        <v>5.0</v>
      </c>
      <c r="F17" s="305">
        <f t="shared" si="1"/>
        <v>5</v>
      </c>
      <c r="G17" s="119">
        <v>6.0</v>
      </c>
      <c r="H17" s="62">
        <v>6.0</v>
      </c>
      <c r="I17" s="209">
        <f t="shared" si="2"/>
        <v>6</v>
      </c>
      <c r="J17" s="121">
        <v>6.0</v>
      </c>
      <c r="K17" s="119">
        <v>5.0</v>
      </c>
      <c r="L17" s="119">
        <v>6.0</v>
      </c>
      <c r="M17" s="119">
        <v>5.0</v>
      </c>
      <c r="N17" s="119">
        <v>5.0</v>
      </c>
      <c r="O17" s="306">
        <f t="shared" si="3"/>
        <v>5</v>
      </c>
      <c r="P17" s="119">
        <v>6.0</v>
      </c>
      <c r="Q17" s="119">
        <v>6.0</v>
      </c>
      <c r="R17" s="62">
        <v>5.0</v>
      </c>
      <c r="S17" s="307">
        <v>5.0</v>
      </c>
      <c r="T17" s="119">
        <v>5.0</v>
      </c>
      <c r="U17" s="119">
        <v>6.0</v>
      </c>
      <c r="V17" s="119">
        <v>6.0</v>
      </c>
      <c r="W17" s="308">
        <f t="shared" si="5"/>
        <v>5.666666667</v>
      </c>
      <c r="X17" s="119">
        <v>6.0</v>
      </c>
      <c r="Y17" s="119">
        <v>6.0</v>
      </c>
      <c r="Z17" s="119">
        <v>6.0</v>
      </c>
      <c r="AA17" s="119">
        <v>5.0</v>
      </c>
      <c r="AB17" s="212">
        <f t="shared" si="6"/>
        <v>5.75</v>
      </c>
      <c r="AC17" s="316">
        <v>5.0</v>
      </c>
      <c r="AD17" s="316">
        <v>6.0</v>
      </c>
      <c r="AE17" s="316">
        <v>6.0</v>
      </c>
      <c r="AF17" s="309">
        <f t="shared" si="7"/>
        <v>5.666666667</v>
      </c>
      <c r="AG17" s="63">
        <f t="shared" si="8"/>
        <v>5.508333333</v>
      </c>
      <c r="AH17" s="172"/>
      <c r="AI17" s="172"/>
      <c r="AJ17" s="172"/>
      <c r="AK17" s="172"/>
      <c r="AL17" s="172"/>
      <c r="AM17" s="172"/>
    </row>
    <row r="18" ht="15.75" customHeight="1">
      <c r="A18" s="142">
        <v>11.0</v>
      </c>
      <c r="B18" s="312" t="s">
        <v>280</v>
      </c>
      <c r="C18" s="62" t="s">
        <v>45</v>
      </c>
      <c r="D18" s="119">
        <v>6.0</v>
      </c>
      <c r="E18" s="119">
        <v>6.0</v>
      </c>
      <c r="F18" s="305">
        <f t="shared" si="1"/>
        <v>6</v>
      </c>
      <c r="G18" s="119">
        <v>6.0</v>
      </c>
      <c r="H18" s="62">
        <v>6.0</v>
      </c>
      <c r="I18" s="209">
        <f t="shared" si="2"/>
        <v>6</v>
      </c>
      <c r="J18" s="121">
        <v>6.0</v>
      </c>
      <c r="K18" s="119">
        <v>5.0</v>
      </c>
      <c r="L18" s="119">
        <v>6.0</v>
      </c>
      <c r="M18" s="119">
        <v>6.0</v>
      </c>
      <c r="N18" s="119">
        <v>5.0</v>
      </c>
      <c r="O18" s="306">
        <f t="shared" si="3"/>
        <v>5.5</v>
      </c>
      <c r="P18" s="119">
        <v>6.0</v>
      </c>
      <c r="Q18" s="62">
        <v>6.0</v>
      </c>
      <c r="R18" s="62">
        <v>5.0</v>
      </c>
      <c r="S18" s="307">
        <f t="shared" ref="S18:S38" si="9">SUM(P18:R18)/3</f>
        <v>5.666666667</v>
      </c>
      <c r="T18" s="119">
        <v>6.0</v>
      </c>
      <c r="U18" s="119">
        <v>6.0</v>
      </c>
      <c r="V18" s="119">
        <v>5.0</v>
      </c>
      <c r="W18" s="308">
        <f t="shared" si="5"/>
        <v>5.666666667</v>
      </c>
      <c r="X18" s="119">
        <v>6.0</v>
      </c>
      <c r="Y18" s="119">
        <v>6.0</v>
      </c>
      <c r="Z18" s="119">
        <v>6.0</v>
      </c>
      <c r="AA18" s="119">
        <v>5.0</v>
      </c>
      <c r="AB18" s="212">
        <f t="shared" si="6"/>
        <v>5.75</v>
      </c>
      <c r="AC18" s="316">
        <v>6.0</v>
      </c>
      <c r="AD18" s="316">
        <v>6.0</v>
      </c>
      <c r="AE18" s="316">
        <v>6.0</v>
      </c>
      <c r="AF18" s="309">
        <f t="shared" si="7"/>
        <v>6</v>
      </c>
      <c r="AG18" s="63">
        <f t="shared" si="8"/>
        <v>5.758333333</v>
      </c>
      <c r="AH18" s="172"/>
      <c r="AI18" s="172"/>
      <c r="AJ18" s="172"/>
      <c r="AK18" s="172"/>
      <c r="AL18" s="172"/>
      <c r="AM18" s="172"/>
    </row>
    <row r="19" ht="15.75" customHeight="1">
      <c r="A19" s="142">
        <v>12.0</v>
      </c>
      <c r="B19" s="312" t="s">
        <v>281</v>
      </c>
      <c r="C19" s="62" t="s">
        <v>45</v>
      </c>
      <c r="D19" s="119">
        <v>5.0</v>
      </c>
      <c r="E19" s="119">
        <v>5.0</v>
      </c>
      <c r="F19" s="305">
        <f t="shared" si="1"/>
        <v>5</v>
      </c>
      <c r="G19" s="119">
        <v>4.0</v>
      </c>
      <c r="H19" s="62">
        <v>4.0</v>
      </c>
      <c r="I19" s="209">
        <f t="shared" si="2"/>
        <v>4</v>
      </c>
      <c r="J19" s="121">
        <v>4.0</v>
      </c>
      <c r="K19" s="119">
        <v>3.0</v>
      </c>
      <c r="L19" s="119">
        <v>5.0</v>
      </c>
      <c r="M19" s="119">
        <v>5.0</v>
      </c>
      <c r="N19" s="119">
        <v>4.0</v>
      </c>
      <c r="O19" s="306">
        <f t="shared" si="3"/>
        <v>4.5</v>
      </c>
      <c r="P19" s="119">
        <v>5.0</v>
      </c>
      <c r="Q19" s="62">
        <v>5.0</v>
      </c>
      <c r="R19" s="62">
        <v>4.0</v>
      </c>
      <c r="S19" s="307">
        <f t="shared" si="9"/>
        <v>4.666666667</v>
      </c>
      <c r="T19" s="119">
        <v>4.0</v>
      </c>
      <c r="U19" s="119">
        <v>4.0</v>
      </c>
      <c r="V19" s="119">
        <v>4.0</v>
      </c>
      <c r="W19" s="308">
        <f t="shared" si="5"/>
        <v>4</v>
      </c>
      <c r="X19" s="119">
        <v>6.0</v>
      </c>
      <c r="Y19" s="119">
        <v>6.0</v>
      </c>
      <c r="Z19" s="119">
        <v>5.0</v>
      </c>
      <c r="AA19" s="119">
        <v>4.0</v>
      </c>
      <c r="AB19" s="212">
        <f t="shared" si="6"/>
        <v>5.25</v>
      </c>
      <c r="AC19" s="316">
        <v>4.0</v>
      </c>
      <c r="AD19" s="316">
        <v>4.0</v>
      </c>
      <c r="AE19" s="316">
        <v>4.0</v>
      </c>
      <c r="AF19" s="309">
        <f t="shared" si="7"/>
        <v>4</v>
      </c>
      <c r="AG19" s="63">
        <f t="shared" si="8"/>
        <v>4.341666667</v>
      </c>
      <c r="AH19" s="172"/>
      <c r="AI19" s="172"/>
      <c r="AJ19" s="172"/>
      <c r="AK19" s="172"/>
      <c r="AL19" s="172"/>
      <c r="AM19" s="172"/>
    </row>
    <row r="20" ht="15.75" customHeight="1">
      <c r="A20" s="142">
        <v>13.0</v>
      </c>
      <c r="B20" s="312" t="s">
        <v>282</v>
      </c>
      <c r="C20" s="62" t="s">
        <v>45</v>
      </c>
      <c r="D20" s="119">
        <v>5.0</v>
      </c>
      <c r="E20" s="119">
        <v>5.0</v>
      </c>
      <c r="F20" s="305">
        <f t="shared" si="1"/>
        <v>5</v>
      </c>
      <c r="G20" s="119">
        <v>4.0</v>
      </c>
      <c r="H20" s="119">
        <v>4.0</v>
      </c>
      <c r="I20" s="209">
        <f t="shared" si="2"/>
        <v>4</v>
      </c>
      <c r="J20" s="121">
        <v>4.0</v>
      </c>
      <c r="K20" s="119">
        <v>3.0</v>
      </c>
      <c r="L20" s="119">
        <v>5.0</v>
      </c>
      <c r="M20" s="119">
        <v>4.0</v>
      </c>
      <c r="N20" s="119">
        <v>4.0</v>
      </c>
      <c r="O20" s="306">
        <f t="shared" si="3"/>
        <v>4</v>
      </c>
      <c r="P20" s="119">
        <v>5.0</v>
      </c>
      <c r="Q20" s="62">
        <v>5.0</v>
      </c>
      <c r="R20" s="62">
        <v>4.0</v>
      </c>
      <c r="S20" s="307">
        <f t="shared" si="9"/>
        <v>4.666666667</v>
      </c>
      <c r="T20" s="119">
        <v>4.0</v>
      </c>
      <c r="U20" s="119">
        <v>4.0</v>
      </c>
      <c r="V20" s="119">
        <v>4.0</v>
      </c>
      <c r="W20" s="308">
        <f t="shared" si="5"/>
        <v>4</v>
      </c>
      <c r="X20" s="119">
        <v>5.0</v>
      </c>
      <c r="Y20" s="119">
        <v>5.0</v>
      </c>
      <c r="Z20" s="119">
        <v>5.0</v>
      </c>
      <c r="AA20" s="119">
        <v>4.0</v>
      </c>
      <c r="AB20" s="212">
        <f t="shared" si="6"/>
        <v>4.75</v>
      </c>
      <c r="AC20" s="316">
        <v>4.0</v>
      </c>
      <c r="AD20" s="316">
        <v>4.0</v>
      </c>
      <c r="AE20" s="316">
        <v>4.0</v>
      </c>
      <c r="AF20" s="309">
        <f t="shared" si="7"/>
        <v>4</v>
      </c>
      <c r="AG20" s="63">
        <f t="shared" si="8"/>
        <v>4.241666667</v>
      </c>
      <c r="AH20" s="172"/>
      <c r="AI20" s="172"/>
      <c r="AJ20" s="172"/>
      <c r="AK20" s="172"/>
      <c r="AL20" s="172"/>
      <c r="AM20" s="172"/>
    </row>
    <row r="21" ht="15.75" customHeight="1">
      <c r="A21" s="142">
        <v>14.0</v>
      </c>
      <c r="B21" s="312" t="s">
        <v>283</v>
      </c>
      <c r="C21" s="62" t="s">
        <v>44</v>
      </c>
      <c r="D21" s="119">
        <v>4.0</v>
      </c>
      <c r="E21" s="119">
        <v>4.0</v>
      </c>
      <c r="F21" s="305">
        <f t="shared" si="1"/>
        <v>4</v>
      </c>
      <c r="G21" s="119">
        <v>4.0</v>
      </c>
      <c r="H21" s="119">
        <v>4.0</v>
      </c>
      <c r="I21" s="209">
        <f t="shared" si="2"/>
        <v>4</v>
      </c>
      <c r="J21" s="121">
        <v>4.0</v>
      </c>
      <c r="K21" s="119">
        <v>3.0</v>
      </c>
      <c r="L21" s="119">
        <v>4.0</v>
      </c>
      <c r="M21" s="119">
        <v>4.0</v>
      </c>
      <c r="N21" s="119">
        <v>4.0</v>
      </c>
      <c r="O21" s="306">
        <f t="shared" si="3"/>
        <v>4</v>
      </c>
      <c r="P21" s="119">
        <v>5.0</v>
      </c>
      <c r="Q21" s="62">
        <v>5.0</v>
      </c>
      <c r="R21" s="62">
        <v>4.0</v>
      </c>
      <c r="S21" s="307">
        <f t="shared" si="9"/>
        <v>4.666666667</v>
      </c>
      <c r="T21" s="119">
        <v>4.0</v>
      </c>
      <c r="U21" s="119">
        <v>4.0</v>
      </c>
      <c r="V21" s="119">
        <v>4.0</v>
      </c>
      <c r="W21" s="308">
        <f t="shared" si="5"/>
        <v>4</v>
      </c>
      <c r="X21" s="119">
        <v>5.0</v>
      </c>
      <c r="Y21" s="119">
        <v>5.0</v>
      </c>
      <c r="Z21" s="119">
        <v>5.0</v>
      </c>
      <c r="AA21" s="119">
        <v>4.0</v>
      </c>
      <c r="AB21" s="212">
        <f t="shared" si="6"/>
        <v>4.75</v>
      </c>
      <c r="AC21" s="316">
        <v>4.0</v>
      </c>
      <c r="AD21" s="316">
        <v>4.0</v>
      </c>
      <c r="AE21" s="316">
        <v>4.0</v>
      </c>
      <c r="AF21" s="309">
        <f t="shared" si="7"/>
        <v>4</v>
      </c>
      <c r="AG21" s="63">
        <f t="shared" si="8"/>
        <v>4.041666667</v>
      </c>
      <c r="AH21" s="172"/>
      <c r="AI21" s="172"/>
      <c r="AJ21" s="172"/>
      <c r="AK21" s="172"/>
      <c r="AL21" s="172"/>
      <c r="AM21" s="172"/>
    </row>
    <row r="22" ht="15.75" customHeight="1">
      <c r="A22" s="142">
        <v>15.0</v>
      </c>
      <c r="B22" s="312" t="s">
        <v>284</v>
      </c>
      <c r="C22" s="62" t="s">
        <v>44</v>
      </c>
      <c r="D22" s="119">
        <v>4.0</v>
      </c>
      <c r="E22" s="119">
        <v>4.0</v>
      </c>
      <c r="F22" s="305">
        <f t="shared" si="1"/>
        <v>4</v>
      </c>
      <c r="G22" s="119">
        <v>4.0</v>
      </c>
      <c r="H22" s="119">
        <v>4.0</v>
      </c>
      <c r="I22" s="209">
        <f t="shared" si="2"/>
        <v>4</v>
      </c>
      <c r="J22" s="121">
        <v>3.0</v>
      </c>
      <c r="K22" s="121">
        <v>2.0</v>
      </c>
      <c r="L22" s="121">
        <v>3.0</v>
      </c>
      <c r="M22" s="121">
        <v>4.0</v>
      </c>
      <c r="N22" s="121">
        <v>4.0</v>
      </c>
      <c r="O22" s="306">
        <f t="shared" si="3"/>
        <v>4</v>
      </c>
      <c r="P22" s="119">
        <v>4.0</v>
      </c>
      <c r="Q22" s="62">
        <v>4.0</v>
      </c>
      <c r="R22" s="62">
        <v>3.0</v>
      </c>
      <c r="S22" s="307">
        <f t="shared" si="9"/>
        <v>3.666666667</v>
      </c>
      <c r="T22" s="119">
        <v>3.0</v>
      </c>
      <c r="U22" s="119">
        <v>3.0</v>
      </c>
      <c r="V22" s="119">
        <v>3.0</v>
      </c>
      <c r="W22" s="308">
        <f t="shared" si="5"/>
        <v>3</v>
      </c>
      <c r="X22" s="119">
        <v>5.0</v>
      </c>
      <c r="Y22" s="119">
        <v>5.0</v>
      </c>
      <c r="Z22" s="119">
        <v>5.0</v>
      </c>
      <c r="AA22" s="119">
        <v>3.0</v>
      </c>
      <c r="AB22" s="212">
        <f t="shared" si="6"/>
        <v>4.5</v>
      </c>
      <c r="AC22" s="316">
        <v>3.0</v>
      </c>
      <c r="AD22" s="316">
        <v>3.0</v>
      </c>
      <c r="AE22" s="316">
        <v>3.0</v>
      </c>
      <c r="AF22" s="309">
        <f t="shared" si="7"/>
        <v>3</v>
      </c>
      <c r="AG22" s="63">
        <f t="shared" si="8"/>
        <v>3.416666667</v>
      </c>
      <c r="AH22" s="172"/>
      <c r="AI22" s="172"/>
      <c r="AJ22" s="172"/>
      <c r="AK22" s="172"/>
      <c r="AL22" s="172"/>
      <c r="AM22" s="172"/>
    </row>
    <row r="23" ht="15.75" customHeight="1">
      <c r="A23" s="142">
        <v>16.0</v>
      </c>
      <c r="B23" s="312" t="s">
        <v>285</v>
      </c>
      <c r="C23" s="62" t="s">
        <v>44</v>
      </c>
      <c r="D23" s="119">
        <v>6.0</v>
      </c>
      <c r="E23" s="119">
        <v>6.0</v>
      </c>
      <c r="F23" s="305">
        <f t="shared" si="1"/>
        <v>6</v>
      </c>
      <c r="G23" s="119">
        <v>5.0</v>
      </c>
      <c r="H23" s="119">
        <v>5.0</v>
      </c>
      <c r="I23" s="209">
        <f t="shared" si="2"/>
        <v>5</v>
      </c>
      <c r="J23" s="121">
        <v>4.0</v>
      </c>
      <c r="K23" s="121">
        <v>3.0</v>
      </c>
      <c r="L23" s="121">
        <v>4.0</v>
      </c>
      <c r="M23" s="121">
        <v>4.0</v>
      </c>
      <c r="N23" s="121">
        <v>4.0</v>
      </c>
      <c r="O23" s="306">
        <v>3.0</v>
      </c>
      <c r="P23" s="119">
        <v>5.0</v>
      </c>
      <c r="Q23" s="62">
        <v>5.0</v>
      </c>
      <c r="R23" s="62">
        <v>4.0</v>
      </c>
      <c r="S23" s="307">
        <f t="shared" si="9"/>
        <v>4.666666667</v>
      </c>
      <c r="T23" s="119">
        <v>4.0</v>
      </c>
      <c r="U23" s="119">
        <v>4.0</v>
      </c>
      <c r="V23" s="119">
        <v>4.0</v>
      </c>
      <c r="W23" s="308">
        <f t="shared" si="5"/>
        <v>4</v>
      </c>
      <c r="X23" s="119">
        <v>5.0</v>
      </c>
      <c r="Y23" s="119">
        <v>5.0</v>
      </c>
      <c r="Z23" s="119">
        <v>5.0</v>
      </c>
      <c r="AA23" s="119">
        <v>4.0</v>
      </c>
      <c r="AB23" s="212">
        <f t="shared" si="6"/>
        <v>4.75</v>
      </c>
      <c r="AC23" s="316">
        <v>4.0</v>
      </c>
      <c r="AD23" s="316">
        <v>4.0</v>
      </c>
      <c r="AE23" s="316">
        <v>4.0</v>
      </c>
      <c r="AF23" s="309">
        <f t="shared" si="7"/>
        <v>4</v>
      </c>
      <c r="AG23" s="63">
        <f t="shared" si="8"/>
        <v>4.241666667</v>
      </c>
      <c r="AH23" s="172"/>
      <c r="AI23" s="172"/>
      <c r="AJ23" s="172"/>
      <c r="AK23" s="172"/>
      <c r="AL23" s="172"/>
      <c r="AM23" s="172"/>
    </row>
    <row r="24" ht="15.75" customHeight="1">
      <c r="A24" s="142">
        <v>17.0</v>
      </c>
      <c r="B24" s="312" t="s">
        <v>286</v>
      </c>
      <c r="C24" s="62" t="s">
        <v>44</v>
      </c>
      <c r="D24" s="119">
        <v>6.0</v>
      </c>
      <c r="E24" s="119">
        <v>6.0</v>
      </c>
      <c r="F24" s="305">
        <f t="shared" si="1"/>
        <v>6</v>
      </c>
      <c r="G24" s="119">
        <v>6.0</v>
      </c>
      <c r="H24" s="119">
        <v>6.0</v>
      </c>
      <c r="I24" s="209">
        <f t="shared" si="2"/>
        <v>6</v>
      </c>
      <c r="J24" s="121">
        <v>4.0</v>
      </c>
      <c r="K24" s="121">
        <v>3.0</v>
      </c>
      <c r="L24" s="121">
        <v>5.0</v>
      </c>
      <c r="M24" s="121">
        <v>5.0</v>
      </c>
      <c r="N24" s="121">
        <v>4.0</v>
      </c>
      <c r="O24" s="306">
        <f t="shared" ref="O24:O32" si="10">SUM(M24:N24)/2</f>
        <v>4.5</v>
      </c>
      <c r="P24" s="119">
        <v>6.0</v>
      </c>
      <c r="Q24" s="62">
        <v>5.0</v>
      </c>
      <c r="R24" s="62">
        <v>4.0</v>
      </c>
      <c r="S24" s="307">
        <f t="shared" si="9"/>
        <v>5</v>
      </c>
      <c r="T24" s="119">
        <v>5.0</v>
      </c>
      <c r="U24" s="119">
        <v>5.0</v>
      </c>
      <c r="V24" s="119">
        <v>4.0</v>
      </c>
      <c r="W24" s="308">
        <f t="shared" si="5"/>
        <v>4.666666667</v>
      </c>
      <c r="X24" s="119">
        <v>6.0</v>
      </c>
      <c r="Y24" s="119">
        <v>6.0</v>
      </c>
      <c r="Z24" s="119">
        <v>5.0</v>
      </c>
      <c r="AA24" s="119">
        <v>4.0</v>
      </c>
      <c r="AB24" s="212">
        <f t="shared" si="6"/>
        <v>5.25</v>
      </c>
      <c r="AC24" s="316">
        <v>5.0</v>
      </c>
      <c r="AD24" s="316">
        <v>5.0</v>
      </c>
      <c r="AE24" s="316">
        <v>5.0</v>
      </c>
      <c r="AF24" s="309">
        <f t="shared" si="7"/>
        <v>5</v>
      </c>
      <c r="AG24" s="63">
        <f t="shared" si="8"/>
        <v>4.841666667</v>
      </c>
      <c r="AH24" s="172"/>
      <c r="AI24" s="172"/>
      <c r="AJ24" s="172"/>
      <c r="AK24" s="172"/>
      <c r="AL24" s="172"/>
      <c r="AM24" s="172"/>
    </row>
    <row r="25" ht="15.75" customHeight="1">
      <c r="A25" s="142">
        <v>18.0</v>
      </c>
      <c r="B25" s="312" t="s">
        <v>287</v>
      </c>
      <c r="C25" s="62" t="s">
        <v>44</v>
      </c>
      <c r="D25" s="119">
        <v>5.0</v>
      </c>
      <c r="E25" s="119">
        <v>5.0</v>
      </c>
      <c r="F25" s="305">
        <f t="shared" si="1"/>
        <v>5</v>
      </c>
      <c r="G25" s="119">
        <v>4.0</v>
      </c>
      <c r="H25" s="119">
        <v>4.0</v>
      </c>
      <c r="I25" s="209">
        <f t="shared" si="2"/>
        <v>4</v>
      </c>
      <c r="J25" s="121">
        <v>4.0</v>
      </c>
      <c r="K25" s="121">
        <v>2.0</v>
      </c>
      <c r="L25" s="121">
        <v>4.0</v>
      </c>
      <c r="M25" s="121">
        <v>4.0</v>
      </c>
      <c r="N25" s="121">
        <v>4.0</v>
      </c>
      <c r="O25" s="306">
        <f t="shared" si="10"/>
        <v>4</v>
      </c>
      <c r="P25" s="119">
        <v>4.0</v>
      </c>
      <c r="Q25" s="62">
        <v>5.0</v>
      </c>
      <c r="R25" s="62">
        <v>4.0</v>
      </c>
      <c r="S25" s="307">
        <f t="shared" si="9"/>
        <v>4.333333333</v>
      </c>
      <c r="T25" s="119">
        <v>4.0</v>
      </c>
      <c r="U25" s="119">
        <v>4.0</v>
      </c>
      <c r="V25" s="119">
        <v>4.0</v>
      </c>
      <c r="W25" s="308">
        <f t="shared" si="5"/>
        <v>4</v>
      </c>
      <c r="X25" s="119">
        <v>5.0</v>
      </c>
      <c r="Y25" s="119">
        <v>5.0</v>
      </c>
      <c r="Z25" s="119">
        <v>5.0</v>
      </c>
      <c r="AA25" s="119">
        <v>3.0</v>
      </c>
      <c r="AB25" s="212">
        <f t="shared" si="6"/>
        <v>4.5</v>
      </c>
      <c r="AC25" s="316">
        <v>4.0</v>
      </c>
      <c r="AD25" s="316">
        <v>4.0</v>
      </c>
      <c r="AE25" s="316">
        <v>4.0</v>
      </c>
      <c r="AF25" s="309">
        <f t="shared" si="7"/>
        <v>4</v>
      </c>
      <c r="AG25" s="63">
        <f t="shared" si="8"/>
        <v>3.983333333</v>
      </c>
      <c r="AH25" s="172"/>
      <c r="AI25" s="172"/>
      <c r="AJ25" s="172"/>
      <c r="AK25" s="172"/>
      <c r="AL25" s="172"/>
      <c r="AM25" s="172"/>
    </row>
    <row r="26" ht="15.75" customHeight="1">
      <c r="A26" s="142">
        <v>19.0</v>
      </c>
      <c r="B26" s="312" t="s">
        <v>288</v>
      </c>
      <c r="C26" s="62" t="s">
        <v>44</v>
      </c>
      <c r="D26" s="119">
        <v>6.0</v>
      </c>
      <c r="E26" s="119">
        <v>6.0</v>
      </c>
      <c r="F26" s="305">
        <f t="shared" si="1"/>
        <v>6</v>
      </c>
      <c r="G26" s="119">
        <v>6.0</v>
      </c>
      <c r="H26" s="119">
        <v>6.0</v>
      </c>
      <c r="I26" s="209">
        <f t="shared" si="2"/>
        <v>6</v>
      </c>
      <c r="J26" s="121">
        <v>6.0</v>
      </c>
      <c r="K26" s="121">
        <v>5.0</v>
      </c>
      <c r="L26" s="121">
        <v>6.0</v>
      </c>
      <c r="M26" s="121">
        <v>6.0</v>
      </c>
      <c r="N26" s="121">
        <v>6.0</v>
      </c>
      <c r="O26" s="306">
        <f t="shared" si="10"/>
        <v>6</v>
      </c>
      <c r="P26" s="119">
        <v>6.0</v>
      </c>
      <c r="Q26" s="62">
        <v>6.0</v>
      </c>
      <c r="R26" s="62">
        <v>6.0</v>
      </c>
      <c r="S26" s="307">
        <f t="shared" si="9"/>
        <v>6</v>
      </c>
      <c r="T26" s="119">
        <v>6.0</v>
      </c>
      <c r="U26" s="119">
        <v>6.0</v>
      </c>
      <c r="V26" s="119">
        <v>5.0</v>
      </c>
      <c r="W26" s="308">
        <f t="shared" si="5"/>
        <v>5.666666667</v>
      </c>
      <c r="X26" s="119">
        <v>6.0</v>
      </c>
      <c r="Y26" s="119">
        <v>6.0</v>
      </c>
      <c r="Z26" s="119">
        <v>6.0</v>
      </c>
      <c r="AA26" s="119">
        <v>5.0</v>
      </c>
      <c r="AB26" s="212">
        <f t="shared" si="6"/>
        <v>5.75</v>
      </c>
      <c r="AC26" s="316">
        <v>6.0</v>
      </c>
      <c r="AD26" s="316">
        <v>6.0</v>
      </c>
      <c r="AE26" s="316">
        <v>6.0</v>
      </c>
      <c r="AF26" s="309">
        <f t="shared" si="7"/>
        <v>6</v>
      </c>
      <c r="AG26" s="63">
        <f t="shared" si="8"/>
        <v>5.841666667</v>
      </c>
      <c r="AH26" s="172"/>
      <c r="AI26" s="172"/>
      <c r="AJ26" s="172"/>
      <c r="AK26" s="172"/>
      <c r="AL26" s="172"/>
      <c r="AM26" s="172"/>
    </row>
    <row r="27" ht="15.75" customHeight="1">
      <c r="A27" s="142">
        <v>20.0</v>
      </c>
      <c r="B27" s="312" t="s">
        <v>289</v>
      </c>
      <c r="C27" s="62" t="s">
        <v>44</v>
      </c>
      <c r="D27" s="119">
        <v>5.0</v>
      </c>
      <c r="E27" s="119">
        <v>5.0</v>
      </c>
      <c r="F27" s="305">
        <f t="shared" si="1"/>
        <v>5</v>
      </c>
      <c r="G27" s="119">
        <v>4.0</v>
      </c>
      <c r="H27" s="119">
        <v>4.0</v>
      </c>
      <c r="I27" s="209">
        <f t="shared" si="2"/>
        <v>4</v>
      </c>
      <c r="J27" s="121">
        <v>4.0</v>
      </c>
      <c r="K27" s="121">
        <v>3.0</v>
      </c>
      <c r="L27" s="121">
        <v>4.0</v>
      </c>
      <c r="M27" s="121">
        <v>4.0</v>
      </c>
      <c r="N27" s="121">
        <v>3.0</v>
      </c>
      <c r="O27" s="306">
        <f t="shared" si="10"/>
        <v>3.5</v>
      </c>
      <c r="P27" s="119">
        <v>4.0</v>
      </c>
      <c r="Q27" s="62">
        <v>4.0</v>
      </c>
      <c r="R27" s="62">
        <v>3.0</v>
      </c>
      <c r="S27" s="307">
        <f t="shared" si="9"/>
        <v>3.666666667</v>
      </c>
      <c r="T27" s="119">
        <v>4.0</v>
      </c>
      <c r="U27" s="119">
        <v>4.0</v>
      </c>
      <c r="V27" s="119">
        <v>3.0</v>
      </c>
      <c r="W27" s="308">
        <f t="shared" si="5"/>
        <v>3.666666667</v>
      </c>
      <c r="X27" s="119">
        <v>4.0</v>
      </c>
      <c r="Y27" s="119">
        <v>4.0</v>
      </c>
      <c r="Z27" s="119">
        <v>4.0</v>
      </c>
      <c r="AA27" s="119">
        <v>3.0</v>
      </c>
      <c r="AB27" s="212">
        <f t="shared" si="6"/>
        <v>3.75</v>
      </c>
      <c r="AC27" s="316">
        <v>4.0</v>
      </c>
      <c r="AD27" s="316">
        <v>4.0</v>
      </c>
      <c r="AE27" s="316">
        <v>4.0</v>
      </c>
      <c r="AF27" s="309">
        <f t="shared" si="7"/>
        <v>4</v>
      </c>
      <c r="AG27" s="63">
        <f t="shared" si="8"/>
        <v>3.858333333</v>
      </c>
      <c r="AH27" s="172"/>
      <c r="AI27" s="172"/>
      <c r="AJ27" s="172"/>
      <c r="AK27" s="172"/>
      <c r="AL27" s="172"/>
      <c r="AM27" s="172"/>
    </row>
    <row r="28" ht="15.75" customHeight="1">
      <c r="A28" s="142">
        <v>21.0</v>
      </c>
      <c r="B28" s="312" t="s">
        <v>290</v>
      </c>
      <c r="C28" s="62" t="s">
        <v>44</v>
      </c>
      <c r="D28" s="119">
        <v>6.0</v>
      </c>
      <c r="E28" s="119">
        <v>6.0</v>
      </c>
      <c r="F28" s="305">
        <f t="shared" si="1"/>
        <v>6</v>
      </c>
      <c r="G28" s="119">
        <v>6.0</v>
      </c>
      <c r="H28" s="119">
        <v>6.0</v>
      </c>
      <c r="I28" s="209">
        <f t="shared" si="2"/>
        <v>6</v>
      </c>
      <c r="J28" s="121">
        <v>6.0</v>
      </c>
      <c r="K28" s="121">
        <v>6.0</v>
      </c>
      <c r="L28" s="121">
        <v>6.0</v>
      </c>
      <c r="M28" s="121">
        <v>6.0</v>
      </c>
      <c r="N28" s="121">
        <v>6.0</v>
      </c>
      <c r="O28" s="306">
        <f t="shared" si="10"/>
        <v>6</v>
      </c>
      <c r="P28" s="119">
        <v>6.0</v>
      </c>
      <c r="Q28" s="62">
        <v>6.0</v>
      </c>
      <c r="R28" s="62">
        <v>6.0</v>
      </c>
      <c r="S28" s="307">
        <f t="shared" si="9"/>
        <v>6</v>
      </c>
      <c r="T28" s="119">
        <v>6.0</v>
      </c>
      <c r="U28" s="119">
        <v>6.0</v>
      </c>
      <c r="V28" s="119">
        <v>5.0</v>
      </c>
      <c r="W28" s="308">
        <f t="shared" si="5"/>
        <v>5.666666667</v>
      </c>
      <c r="X28" s="119">
        <v>6.0</v>
      </c>
      <c r="Y28" s="119">
        <v>6.0</v>
      </c>
      <c r="Z28" s="119">
        <v>6.0</v>
      </c>
      <c r="AA28" s="119">
        <v>5.0</v>
      </c>
      <c r="AB28" s="212">
        <f t="shared" si="6"/>
        <v>5.75</v>
      </c>
      <c r="AC28" s="316">
        <v>6.0</v>
      </c>
      <c r="AD28" s="316">
        <v>6.0</v>
      </c>
      <c r="AE28" s="316">
        <v>6.0</v>
      </c>
      <c r="AF28" s="309">
        <f t="shared" si="7"/>
        <v>6</v>
      </c>
      <c r="AG28" s="63">
        <f t="shared" si="8"/>
        <v>5.941666667</v>
      </c>
      <c r="AH28" s="172"/>
      <c r="AI28" s="172"/>
      <c r="AJ28" s="172"/>
      <c r="AK28" s="172"/>
      <c r="AL28" s="172"/>
      <c r="AM28" s="172"/>
    </row>
    <row r="29" ht="15.75" customHeight="1">
      <c r="A29" s="142">
        <v>22.0</v>
      </c>
      <c r="B29" s="312" t="s">
        <v>291</v>
      </c>
      <c r="C29" s="62" t="s">
        <v>44</v>
      </c>
      <c r="D29" s="119">
        <v>6.0</v>
      </c>
      <c r="E29" s="119">
        <v>6.0</v>
      </c>
      <c r="F29" s="305">
        <f t="shared" si="1"/>
        <v>6</v>
      </c>
      <c r="G29" s="119">
        <v>6.0</v>
      </c>
      <c r="H29" s="119">
        <v>6.0</v>
      </c>
      <c r="I29" s="209">
        <f t="shared" si="2"/>
        <v>6</v>
      </c>
      <c r="J29" s="121">
        <v>5.0</v>
      </c>
      <c r="K29" s="121">
        <v>3.0</v>
      </c>
      <c r="L29" s="121">
        <v>5.0</v>
      </c>
      <c r="M29" s="121">
        <v>6.0</v>
      </c>
      <c r="N29" s="121">
        <v>5.0</v>
      </c>
      <c r="O29" s="306">
        <f t="shared" si="10"/>
        <v>5.5</v>
      </c>
      <c r="P29" s="119">
        <v>6.0</v>
      </c>
      <c r="Q29" s="62">
        <v>6.0</v>
      </c>
      <c r="R29" s="62">
        <v>5.0</v>
      </c>
      <c r="S29" s="307">
        <f t="shared" si="9"/>
        <v>5.666666667</v>
      </c>
      <c r="T29" s="119">
        <v>5.0</v>
      </c>
      <c r="U29" s="119">
        <v>5.0</v>
      </c>
      <c r="V29" s="119">
        <v>4.0</v>
      </c>
      <c r="W29" s="308">
        <f t="shared" si="5"/>
        <v>4.666666667</v>
      </c>
      <c r="X29" s="119">
        <v>6.0</v>
      </c>
      <c r="Y29" s="119">
        <v>6.0</v>
      </c>
      <c r="Z29" s="119">
        <v>6.0</v>
      </c>
      <c r="AA29" s="119">
        <v>4.0</v>
      </c>
      <c r="AB29" s="212">
        <f t="shared" si="6"/>
        <v>5.5</v>
      </c>
      <c r="AC29" s="316">
        <v>4.0</v>
      </c>
      <c r="AD29" s="316">
        <v>5.0</v>
      </c>
      <c r="AE29" s="316">
        <v>5.0</v>
      </c>
      <c r="AF29" s="309">
        <f t="shared" si="7"/>
        <v>4.666666667</v>
      </c>
      <c r="AG29" s="63">
        <f t="shared" si="8"/>
        <v>5.1</v>
      </c>
      <c r="AH29" s="172"/>
      <c r="AI29" s="172"/>
      <c r="AJ29" s="172"/>
      <c r="AK29" s="172"/>
      <c r="AL29" s="172"/>
      <c r="AM29" s="172"/>
    </row>
    <row r="30" ht="15.75" customHeight="1">
      <c r="A30" s="142">
        <v>23.0</v>
      </c>
      <c r="B30" s="312" t="s">
        <v>292</v>
      </c>
      <c r="C30" s="62" t="s">
        <v>44</v>
      </c>
      <c r="D30" s="119">
        <v>6.0</v>
      </c>
      <c r="E30" s="119">
        <v>6.0</v>
      </c>
      <c r="F30" s="305">
        <f t="shared" si="1"/>
        <v>6</v>
      </c>
      <c r="G30" s="119">
        <v>5.0</v>
      </c>
      <c r="H30" s="119">
        <v>5.0</v>
      </c>
      <c r="I30" s="209">
        <f t="shared" si="2"/>
        <v>5</v>
      </c>
      <c r="J30" s="121">
        <v>4.0</v>
      </c>
      <c r="K30" s="121">
        <v>2.0</v>
      </c>
      <c r="L30" s="121">
        <v>3.0</v>
      </c>
      <c r="M30" s="121">
        <v>4.0</v>
      </c>
      <c r="N30" s="121">
        <v>3.0</v>
      </c>
      <c r="O30" s="306">
        <f t="shared" si="10"/>
        <v>3.5</v>
      </c>
      <c r="P30" s="119">
        <v>5.0</v>
      </c>
      <c r="Q30" s="62">
        <v>5.0</v>
      </c>
      <c r="R30" s="62">
        <v>4.0</v>
      </c>
      <c r="S30" s="307">
        <f t="shared" si="9"/>
        <v>4.666666667</v>
      </c>
      <c r="T30" s="119">
        <v>4.0</v>
      </c>
      <c r="U30" s="119">
        <v>4.0</v>
      </c>
      <c r="V30" s="119">
        <v>4.0</v>
      </c>
      <c r="W30" s="308">
        <f t="shared" si="5"/>
        <v>4</v>
      </c>
      <c r="X30" s="119">
        <v>5.0</v>
      </c>
      <c r="Y30" s="119">
        <v>5.0</v>
      </c>
      <c r="Z30" s="119">
        <v>5.0</v>
      </c>
      <c r="AA30" s="119">
        <v>4.0</v>
      </c>
      <c r="AB30" s="212">
        <f t="shared" si="6"/>
        <v>4.75</v>
      </c>
      <c r="AC30" s="316">
        <v>4.0</v>
      </c>
      <c r="AD30" s="316">
        <v>4.0</v>
      </c>
      <c r="AE30" s="316">
        <v>4.0</v>
      </c>
      <c r="AF30" s="309">
        <f t="shared" si="7"/>
        <v>4</v>
      </c>
      <c r="AG30" s="63">
        <f t="shared" si="8"/>
        <v>4.091666667</v>
      </c>
      <c r="AH30" s="172"/>
      <c r="AI30" s="172"/>
      <c r="AJ30" s="172"/>
      <c r="AK30" s="172"/>
      <c r="AL30" s="172"/>
      <c r="AM30" s="172"/>
    </row>
    <row r="31" ht="15.75" customHeight="1">
      <c r="A31" s="142">
        <v>24.0</v>
      </c>
      <c r="B31" s="312" t="s">
        <v>293</v>
      </c>
      <c r="C31" s="62" t="s">
        <v>44</v>
      </c>
      <c r="D31" s="119">
        <v>6.0</v>
      </c>
      <c r="E31" s="119">
        <v>6.0</v>
      </c>
      <c r="F31" s="305">
        <f t="shared" si="1"/>
        <v>6</v>
      </c>
      <c r="G31" s="119">
        <v>6.0</v>
      </c>
      <c r="H31" s="119">
        <v>6.0</v>
      </c>
      <c r="I31" s="209">
        <f t="shared" si="2"/>
        <v>6</v>
      </c>
      <c r="J31" s="121">
        <v>6.0</v>
      </c>
      <c r="K31" s="121">
        <v>4.0</v>
      </c>
      <c r="L31" s="121">
        <v>5.0</v>
      </c>
      <c r="M31" s="121">
        <v>5.0</v>
      </c>
      <c r="N31" s="121">
        <v>4.0</v>
      </c>
      <c r="O31" s="306">
        <f t="shared" si="10"/>
        <v>4.5</v>
      </c>
      <c r="P31" s="119">
        <v>5.0</v>
      </c>
      <c r="Q31" s="62">
        <v>6.0</v>
      </c>
      <c r="R31" s="62">
        <v>5.0</v>
      </c>
      <c r="S31" s="307">
        <f t="shared" si="9"/>
        <v>5.333333333</v>
      </c>
      <c r="T31" s="119">
        <v>5.0</v>
      </c>
      <c r="U31" s="119">
        <v>5.0</v>
      </c>
      <c r="V31" s="119">
        <v>5.0</v>
      </c>
      <c r="W31" s="308">
        <f t="shared" si="5"/>
        <v>5</v>
      </c>
      <c r="X31" s="119">
        <v>6.0</v>
      </c>
      <c r="Y31" s="119">
        <v>6.0</v>
      </c>
      <c r="Z31" s="119">
        <v>6.0</v>
      </c>
      <c r="AA31" s="119">
        <v>4.0</v>
      </c>
      <c r="AB31" s="212">
        <f t="shared" si="6"/>
        <v>5.5</v>
      </c>
      <c r="AC31" s="316">
        <v>5.0</v>
      </c>
      <c r="AD31" s="316">
        <v>5.0</v>
      </c>
      <c r="AE31" s="316">
        <v>5.0</v>
      </c>
      <c r="AF31" s="309">
        <f t="shared" si="7"/>
        <v>5</v>
      </c>
      <c r="AG31" s="63">
        <v>5.0</v>
      </c>
      <c r="AH31" s="172"/>
      <c r="AI31" s="172"/>
      <c r="AJ31" s="172"/>
      <c r="AK31" s="172"/>
      <c r="AL31" s="172"/>
      <c r="AM31" s="172"/>
    </row>
    <row r="32" ht="15.75" customHeight="1">
      <c r="A32" s="142">
        <v>25.0</v>
      </c>
      <c r="B32" s="312" t="s">
        <v>294</v>
      </c>
      <c r="C32" s="62" t="s">
        <v>44</v>
      </c>
      <c r="D32" s="119">
        <v>4.0</v>
      </c>
      <c r="E32" s="119">
        <v>4.0</v>
      </c>
      <c r="F32" s="305">
        <f t="shared" si="1"/>
        <v>4</v>
      </c>
      <c r="G32" s="119">
        <v>4.0</v>
      </c>
      <c r="H32" s="119">
        <v>4.0</v>
      </c>
      <c r="I32" s="209">
        <f t="shared" si="2"/>
        <v>4</v>
      </c>
      <c r="J32" s="121">
        <v>4.0</v>
      </c>
      <c r="K32" s="121">
        <v>2.0</v>
      </c>
      <c r="L32" s="121">
        <v>3.0</v>
      </c>
      <c r="M32" s="121">
        <v>4.0</v>
      </c>
      <c r="N32" s="121">
        <v>3.0</v>
      </c>
      <c r="O32" s="306">
        <f t="shared" si="10"/>
        <v>3.5</v>
      </c>
      <c r="P32" s="119">
        <v>3.0</v>
      </c>
      <c r="Q32" s="62">
        <v>4.0</v>
      </c>
      <c r="R32" s="62">
        <v>3.0</v>
      </c>
      <c r="S32" s="307">
        <f t="shared" si="9"/>
        <v>3.333333333</v>
      </c>
      <c r="T32" s="119">
        <v>3.0</v>
      </c>
      <c r="U32" s="119">
        <v>3.0</v>
      </c>
      <c r="V32" s="119">
        <v>3.0</v>
      </c>
      <c r="W32" s="308">
        <f t="shared" si="5"/>
        <v>3</v>
      </c>
      <c r="X32" s="119">
        <v>4.0</v>
      </c>
      <c r="Y32" s="119">
        <v>4.0</v>
      </c>
      <c r="Z32" s="119">
        <v>4.0</v>
      </c>
      <c r="AA32" s="119">
        <v>3.0</v>
      </c>
      <c r="AB32" s="212">
        <f t="shared" si="6"/>
        <v>3.75</v>
      </c>
      <c r="AC32" s="316">
        <v>3.0</v>
      </c>
      <c r="AD32" s="316">
        <v>3.0</v>
      </c>
      <c r="AE32" s="316">
        <v>3.0</v>
      </c>
      <c r="AF32" s="309">
        <f t="shared" si="7"/>
        <v>3</v>
      </c>
      <c r="AG32" s="63">
        <f t="shared" ref="AG32:AG49" si="11">SUM(AF32,AB32,W32,S32,O32,L32,K32,J32,I32,F32)/10</f>
        <v>3.358333333</v>
      </c>
      <c r="AH32" s="172"/>
      <c r="AI32" s="172"/>
      <c r="AJ32" s="172"/>
      <c r="AK32" s="172"/>
      <c r="AL32" s="172"/>
      <c r="AM32" s="172"/>
    </row>
    <row r="33" ht="15.75" customHeight="1">
      <c r="A33" s="142">
        <v>26.0</v>
      </c>
      <c r="B33" s="312" t="s">
        <v>295</v>
      </c>
      <c r="C33" s="62" t="s">
        <v>44</v>
      </c>
      <c r="D33" s="119">
        <v>6.0</v>
      </c>
      <c r="E33" s="119">
        <v>6.0</v>
      </c>
      <c r="F33" s="305">
        <f t="shared" si="1"/>
        <v>6</v>
      </c>
      <c r="G33" s="119">
        <v>6.0</v>
      </c>
      <c r="H33" s="119">
        <v>6.0</v>
      </c>
      <c r="I33" s="209">
        <f t="shared" si="2"/>
        <v>6</v>
      </c>
      <c r="J33" s="121">
        <v>5.0</v>
      </c>
      <c r="K33" s="121">
        <v>3.0</v>
      </c>
      <c r="L33" s="121">
        <v>4.0</v>
      </c>
      <c r="M33" s="121">
        <v>4.0</v>
      </c>
      <c r="N33" s="121">
        <v>4.0</v>
      </c>
      <c r="O33" s="306">
        <v>5.0</v>
      </c>
      <c r="P33" s="119">
        <v>4.0</v>
      </c>
      <c r="Q33" s="62">
        <v>5.0</v>
      </c>
      <c r="R33" s="62">
        <v>4.0</v>
      </c>
      <c r="S33" s="307">
        <f t="shared" si="9"/>
        <v>4.333333333</v>
      </c>
      <c r="T33" s="119">
        <v>4.0</v>
      </c>
      <c r="U33" s="119">
        <v>4.0</v>
      </c>
      <c r="V33" s="119">
        <v>4.0</v>
      </c>
      <c r="W33" s="308">
        <f t="shared" si="5"/>
        <v>4</v>
      </c>
      <c r="X33" s="119">
        <v>5.0</v>
      </c>
      <c r="Y33" s="119">
        <v>5.0</v>
      </c>
      <c r="Z33" s="119">
        <v>5.0</v>
      </c>
      <c r="AA33" s="119">
        <v>4.0</v>
      </c>
      <c r="AB33" s="212">
        <f t="shared" si="6"/>
        <v>4.75</v>
      </c>
      <c r="AC33" s="316">
        <v>4.0</v>
      </c>
      <c r="AD33" s="316">
        <v>4.0</v>
      </c>
      <c r="AE33" s="316">
        <v>4.0</v>
      </c>
      <c r="AF33" s="309">
        <f t="shared" si="7"/>
        <v>4</v>
      </c>
      <c r="AG33" s="63">
        <f t="shared" si="11"/>
        <v>4.608333333</v>
      </c>
      <c r="AH33" s="172"/>
      <c r="AI33" s="172"/>
      <c r="AJ33" s="172"/>
      <c r="AK33" s="172"/>
      <c r="AL33" s="172"/>
      <c r="AM33" s="172"/>
    </row>
    <row r="34" ht="15.75" customHeight="1">
      <c r="A34" s="142">
        <v>27.0</v>
      </c>
      <c r="B34" s="312" t="s">
        <v>296</v>
      </c>
      <c r="C34" s="62" t="s">
        <v>44</v>
      </c>
      <c r="D34" s="119">
        <v>6.0</v>
      </c>
      <c r="E34" s="119">
        <v>6.0</v>
      </c>
      <c r="F34" s="305">
        <f t="shared" si="1"/>
        <v>6</v>
      </c>
      <c r="G34" s="119">
        <v>6.0</v>
      </c>
      <c r="H34" s="119">
        <v>6.0</v>
      </c>
      <c r="I34" s="209">
        <f t="shared" si="2"/>
        <v>6</v>
      </c>
      <c r="J34" s="121">
        <v>5.0</v>
      </c>
      <c r="K34" s="121">
        <v>4.0</v>
      </c>
      <c r="L34" s="121">
        <v>5.0</v>
      </c>
      <c r="M34" s="121">
        <v>6.0</v>
      </c>
      <c r="N34" s="121">
        <v>5.0</v>
      </c>
      <c r="O34" s="306">
        <f t="shared" ref="O34:O49" si="12">SUM(M34:N34)/2</f>
        <v>5.5</v>
      </c>
      <c r="P34" s="119">
        <v>5.0</v>
      </c>
      <c r="Q34" s="62">
        <v>6.0</v>
      </c>
      <c r="R34" s="62">
        <v>4.0</v>
      </c>
      <c r="S34" s="307">
        <f t="shared" si="9"/>
        <v>5</v>
      </c>
      <c r="T34" s="119">
        <v>5.0</v>
      </c>
      <c r="U34" s="119">
        <v>5.0</v>
      </c>
      <c r="V34" s="119">
        <v>4.0</v>
      </c>
      <c r="W34" s="308">
        <f t="shared" si="5"/>
        <v>4.666666667</v>
      </c>
      <c r="X34" s="119">
        <v>6.0</v>
      </c>
      <c r="Y34" s="119">
        <v>6.0</v>
      </c>
      <c r="Z34" s="119">
        <v>5.0</v>
      </c>
      <c r="AA34" s="119">
        <v>5.0</v>
      </c>
      <c r="AB34" s="212">
        <f t="shared" si="6"/>
        <v>5.5</v>
      </c>
      <c r="AC34" s="316">
        <v>5.0</v>
      </c>
      <c r="AD34" s="316">
        <v>5.0</v>
      </c>
      <c r="AE34" s="316">
        <v>5.0</v>
      </c>
      <c r="AF34" s="309">
        <f t="shared" si="7"/>
        <v>5</v>
      </c>
      <c r="AG34" s="63">
        <f t="shared" si="11"/>
        <v>5.166666667</v>
      </c>
      <c r="AH34" s="172"/>
      <c r="AI34" s="172"/>
      <c r="AJ34" s="172"/>
      <c r="AK34" s="172"/>
      <c r="AL34" s="172"/>
      <c r="AM34" s="172"/>
    </row>
    <row r="35" ht="15.75" customHeight="1">
      <c r="A35" s="142">
        <v>28.0</v>
      </c>
      <c r="B35" s="312" t="s">
        <v>297</v>
      </c>
      <c r="C35" s="62" t="s">
        <v>44</v>
      </c>
      <c r="D35" s="119">
        <v>6.0</v>
      </c>
      <c r="E35" s="119">
        <v>6.0</v>
      </c>
      <c r="F35" s="305">
        <f t="shared" si="1"/>
        <v>6</v>
      </c>
      <c r="G35" s="119">
        <v>6.0</v>
      </c>
      <c r="H35" s="119">
        <v>6.0</v>
      </c>
      <c r="I35" s="209">
        <f t="shared" si="2"/>
        <v>6</v>
      </c>
      <c r="J35" s="121">
        <v>5.0</v>
      </c>
      <c r="K35" s="121">
        <v>5.0</v>
      </c>
      <c r="L35" s="121">
        <v>6.0</v>
      </c>
      <c r="M35" s="121">
        <v>6.0</v>
      </c>
      <c r="N35" s="121">
        <v>6.0</v>
      </c>
      <c r="O35" s="306">
        <f t="shared" si="12"/>
        <v>6</v>
      </c>
      <c r="P35" s="119">
        <v>5.0</v>
      </c>
      <c r="Q35" s="62">
        <v>6.0</v>
      </c>
      <c r="R35" s="62">
        <v>4.0</v>
      </c>
      <c r="S35" s="307">
        <f t="shared" si="9"/>
        <v>5</v>
      </c>
      <c r="T35" s="119">
        <v>5.0</v>
      </c>
      <c r="U35" s="119">
        <v>6.0</v>
      </c>
      <c r="V35" s="119">
        <v>4.0</v>
      </c>
      <c r="W35" s="308">
        <f t="shared" si="5"/>
        <v>5</v>
      </c>
      <c r="X35" s="119">
        <v>6.0</v>
      </c>
      <c r="Y35" s="119">
        <v>6.0</v>
      </c>
      <c r="Z35" s="119">
        <v>6.0</v>
      </c>
      <c r="AA35" s="119">
        <v>5.0</v>
      </c>
      <c r="AB35" s="212">
        <f t="shared" si="6"/>
        <v>5.75</v>
      </c>
      <c r="AC35" s="316">
        <v>6.0</v>
      </c>
      <c r="AD35" s="316">
        <v>6.0</v>
      </c>
      <c r="AE35" s="316">
        <v>6.0</v>
      </c>
      <c r="AF35" s="309">
        <f t="shared" si="7"/>
        <v>6</v>
      </c>
      <c r="AG35" s="63">
        <f t="shared" si="11"/>
        <v>5.575</v>
      </c>
      <c r="AH35" s="172"/>
      <c r="AI35" s="172"/>
      <c r="AJ35" s="172"/>
      <c r="AK35" s="172"/>
      <c r="AL35" s="172"/>
      <c r="AM35" s="172"/>
    </row>
    <row r="36" ht="15.75" customHeight="1">
      <c r="A36" s="142">
        <v>29.0</v>
      </c>
      <c r="B36" s="312" t="s">
        <v>298</v>
      </c>
      <c r="C36" s="62" t="s">
        <v>45</v>
      </c>
      <c r="D36" s="119">
        <v>6.0</v>
      </c>
      <c r="E36" s="119">
        <v>6.0</v>
      </c>
      <c r="F36" s="305">
        <f t="shared" si="1"/>
        <v>6</v>
      </c>
      <c r="G36" s="119">
        <v>6.0</v>
      </c>
      <c r="H36" s="119">
        <v>6.0</v>
      </c>
      <c r="I36" s="209">
        <f t="shared" si="2"/>
        <v>6</v>
      </c>
      <c r="J36" s="121">
        <v>4.0</v>
      </c>
      <c r="K36" s="121">
        <v>3.0</v>
      </c>
      <c r="L36" s="121">
        <v>4.0</v>
      </c>
      <c r="M36" s="121">
        <v>4.0</v>
      </c>
      <c r="N36" s="121">
        <v>4.0</v>
      </c>
      <c r="O36" s="306">
        <f t="shared" si="12"/>
        <v>4</v>
      </c>
      <c r="P36" s="119">
        <v>4.0</v>
      </c>
      <c r="Q36" s="62">
        <v>5.0</v>
      </c>
      <c r="R36" s="62">
        <v>4.0</v>
      </c>
      <c r="S36" s="307">
        <f t="shared" si="9"/>
        <v>4.333333333</v>
      </c>
      <c r="T36" s="119">
        <v>4.0</v>
      </c>
      <c r="U36" s="119">
        <v>4.0</v>
      </c>
      <c r="V36" s="119">
        <v>4.0</v>
      </c>
      <c r="W36" s="308">
        <f t="shared" si="5"/>
        <v>4</v>
      </c>
      <c r="X36" s="119">
        <v>5.0</v>
      </c>
      <c r="Y36" s="119">
        <v>5.0</v>
      </c>
      <c r="Z36" s="119">
        <v>5.0</v>
      </c>
      <c r="AA36" s="119">
        <v>4.0</v>
      </c>
      <c r="AB36" s="212">
        <f t="shared" si="6"/>
        <v>4.75</v>
      </c>
      <c r="AC36" s="316">
        <v>5.0</v>
      </c>
      <c r="AD36" s="316">
        <v>5.0</v>
      </c>
      <c r="AE36" s="316">
        <v>5.0</v>
      </c>
      <c r="AF36" s="309">
        <f t="shared" si="7"/>
        <v>5</v>
      </c>
      <c r="AG36" s="63">
        <f t="shared" si="11"/>
        <v>4.508333333</v>
      </c>
      <c r="AH36" s="172"/>
      <c r="AI36" s="172"/>
      <c r="AJ36" s="172"/>
      <c r="AK36" s="172"/>
      <c r="AL36" s="172"/>
      <c r="AM36" s="172"/>
    </row>
    <row r="37" ht="15.75" customHeight="1">
      <c r="A37" s="142">
        <v>30.0</v>
      </c>
      <c r="B37" s="312" t="s">
        <v>299</v>
      </c>
      <c r="C37" s="62" t="s">
        <v>44</v>
      </c>
      <c r="D37" s="119">
        <v>5.0</v>
      </c>
      <c r="E37" s="119">
        <v>5.0</v>
      </c>
      <c r="F37" s="305">
        <f t="shared" si="1"/>
        <v>5</v>
      </c>
      <c r="G37" s="119">
        <v>5.0</v>
      </c>
      <c r="H37" s="119">
        <v>5.0</v>
      </c>
      <c r="I37" s="209">
        <f t="shared" si="2"/>
        <v>5</v>
      </c>
      <c r="J37" s="121">
        <v>4.0</v>
      </c>
      <c r="K37" s="121">
        <v>3.0</v>
      </c>
      <c r="L37" s="121">
        <v>4.0</v>
      </c>
      <c r="M37" s="121">
        <v>5.0</v>
      </c>
      <c r="N37" s="121">
        <v>4.0</v>
      </c>
      <c r="O37" s="306">
        <f t="shared" si="12"/>
        <v>4.5</v>
      </c>
      <c r="P37" s="119">
        <v>4.0</v>
      </c>
      <c r="Q37" s="62">
        <v>4.0</v>
      </c>
      <c r="R37" s="62">
        <v>4.0</v>
      </c>
      <c r="S37" s="307">
        <f t="shared" si="9"/>
        <v>4</v>
      </c>
      <c r="T37" s="119">
        <v>4.0</v>
      </c>
      <c r="U37" s="119">
        <v>4.0</v>
      </c>
      <c r="V37" s="119">
        <v>4.0</v>
      </c>
      <c r="W37" s="308">
        <f t="shared" si="5"/>
        <v>4</v>
      </c>
      <c r="X37" s="119">
        <v>5.0</v>
      </c>
      <c r="Y37" s="119">
        <v>5.0</v>
      </c>
      <c r="Z37" s="119">
        <v>5.0</v>
      </c>
      <c r="AA37" s="119">
        <v>4.0</v>
      </c>
      <c r="AB37" s="212">
        <f t="shared" si="6"/>
        <v>4.75</v>
      </c>
      <c r="AC37" s="316">
        <v>4.0</v>
      </c>
      <c r="AD37" s="316">
        <v>5.0</v>
      </c>
      <c r="AE37" s="316">
        <v>5.0</v>
      </c>
      <c r="AF37" s="309">
        <f t="shared" si="7"/>
        <v>4.666666667</v>
      </c>
      <c r="AG37" s="63">
        <f t="shared" si="11"/>
        <v>4.291666667</v>
      </c>
      <c r="AH37" s="172"/>
      <c r="AI37" s="172"/>
      <c r="AJ37" s="172"/>
      <c r="AK37" s="172"/>
      <c r="AL37" s="172"/>
      <c r="AM37" s="172"/>
    </row>
    <row r="38" ht="15.75" customHeight="1">
      <c r="A38" s="142">
        <v>31.0</v>
      </c>
      <c r="B38" s="312" t="s">
        <v>300</v>
      </c>
      <c r="C38" s="62" t="s">
        <v>45</v>
      </c>
      <c r="D38" s="119">
        <v>6.0</v>
      </c>
      <c r="E38" s="119">
        <v>6.0</v>
      </c>
      <c r="F38" s="305">
        <f t="shared" si="1"/>
        <v>6</v>
      </c>
      <c r="G38" s="119">
        <v>6.0</v>
      </c>
      <c r="H38" s="119">
        <v>6.0</v>
      </c>
      <c r="I38" s="209">
        <f t="shared" si="2"/>
        <v>6</v>
      </c>
      <c r="J38" s="121">
        <v>6.0</v>
      </c>
      <c r="K38" s="121">
        <v>6.0</v>
      </c>
      <c r="L38" s="121">
        <v>6.0</v>
      </c>
      <c r="M38" s="121">
        <v>6.0</v>
      </c>
      <c r="N38" s="121">
        <v>6.0</v>
      </c>
      <c r="O38" s="306">
        <f t="shared" si="12"/>
        <v>6</v>
      </c>
      <c r="P38" s="119">
        <v>6.0</v>
      </c>
      <c r="Q38" s="62">
        <v>6.0</v>
      </c>
      <c r="R38" s="62">
        <v>6.0</v>
      </c>
      <c r="S38" s="307">
        <f t="shared" si="9"/>
        <v>6</v>
      </c>
      <c r="T38" s="119">
        <v>6.0</v>
      </c>
      <c r="U38" s="119">
        <v>6.0</v>
      </c>
      <c r="V38" s="119">
        <v>5.0</v>
      </c>
      <c r="W38" s="308">
        <f t="shared" si="5"/>
        <v>5.666666667</v>
      </c>
      <c r="X38" s="119">
        <v>6.0</v>
      </c>
      <c r="Y38" s="119">
        <v>6.0</v>
      </c>
      <c r="Z38" s="119">
        <v>6.0</v>
      </c>
      <c r="AA38" s="119">
        <v>5.0</v>
      </c>
      <c r="AB38" s="212">
        <f t="shared" si="6"/>
        <v>5.75</v>
      </c>
      <c r="AC38" s="316">
        <v>6.0</v>
      </c>
      <c r="AD38" s="316">
        <v>6.0</v>
      </c>
      <c r="AE38" s="316">
        <v>6.0</v>
      </c>
      <c r="AF38" s="309">
        <f t="shared" si="7"/>
        <v>6</v>
      </c>
      <c r="AG38" s="63">
        <f t="shared" si="11"/>
        <v>5.941666667</v>
      </c>
      <c r="AH38" s="172"/>
      <c r="AI38" s="172"/>
      <c r="AJ38" s="172"/>
      <c r="AK38" s="172"/>
      <c r="AL38" s="172"/>
      <c r="AM38" s="172"/>
    </row>
    <row r="39" ht="15.75" customHeight="1">
      <c r="A39" s="142">
        <v>32.0</v>
      </c>
      <c r="B39" s="312" t="s">
        <v>301</v>
      </c>
      <c r="C39" s="62" t="s">
        <v>45</v>
      </c>
      <c r="D39" s="119">
        <v>5.0</v>
      </c>
      <c r="E39" s="119">
        <v>5.0</v>
      </c>
      <c r="F39" s="305">
        <f t="shared" si="1"/>
        <v>5</v>
      </c>
      <c r="G39" s="119">
        <v>5.0</v>
      </c>
      <c r="H39" s="119">
        <v>5.0</v>
      </c>
      <c r="I39" s="209">
        <f t="shared" si="2"/>
        <v>5</v>
      </c>
      <c r="J39" s="121">
        <v>4.0</v>
      </c>
      <c r="K39" s="121">
        <v>3.0</v>
      </c>
      <c r="L39" s="121">
        <v>4.0</v>
      </c>
      <c r="M39" s="121">
        <v>4.0</v>
      </c>
      <c r="N39" s="121">
        <v>4.0</v>
      </c>
      <c r="O39" s="306">
        <f t="shared" si="12"/>
        <v>4</v>
      </c>
      <c r="P39" s="119">
        <v>4.0</v>
      </c>
      <c r="Q39" s="62">
        <v>4.0</v>
      </c>
      <c r="R39" s="62">
        <v>4.0</v>
      </c>
      <c r="S39" s="307">
        <v>3.0</v>
      </c>
      <c r="T39" s="119">
        <v>4.0</v>
      </c>
      <c r="U39" s="119">
        <v>4.0</v>
      </c>
      <c r="V39" s="119">
        <v>4.0</v>
      </c>
      <c r="W39" s="308">
        <f t="shared" si="5"/>
        <v>4</v>
      </c>
      <c r="X39" s="119">
        <v>5.0</v>
      </c>
      <c r="Y39" s="119">
        <v>5.0</v>
      </c>
      <c r="Z39" s="119">
        <v>5.0</v>
      </c>
      <c r="AA39" s="119">
        <v>4.0</v>
      </c>
      <c r="AB39" s="212">
        <f t="shared" si="6"/>
        <v>4.75</v>
      </c>
      <c r="AC39" s="316">
        <v>4.0</v>
      </c>
      <c r="AD39" s="316">
        <v>4.0</v>
      </c>
      <c r="AE39" s="316">
        <v>4.0</v>
      </c>
      <c r="AF39" s="309">
        <f t="shared" si="7"/>
        <v>4</v>
      </c>
      <c r="AG39" s="63">
        <f t="shared" si="11"/>
        <v>4.075</v>
      </c>
      <c r="AH39" s="172"/>
      <c r="AI39" s="172"/>
      <c r="AJ39" s="172"/>
      <c r="AK39" s="172"/>
      <c r="AL39" s="172"/>
      <c r="AM39" s="172"/>
    </row>
    <row r="40" ht="15.75" customHeight="1">
      <c r="A40" s="142">
        <v>33.0</v>
      </c>
      <c r="B40" s="312" t="s">
        <v>302</v>
      </c>
      <c r="C40" s="62" t="s">
        <v>45</v>
      </c>
      <c r="D40" s="119">
        <v>5.0</v>
      </c>
      <c r="E40" s="119">
        <v>5.0</v>
      </c>
      <c r="F40" s="305">
        <f t="shared" si="1"/>
        <v>5</v>
      </c>
      <c r="G40" s="62">
        <v>5.0</v>
      </c>
      <c r="H40" s="119">
        <v>5.0</v>
      </c>
      <c r="I40" s="209">
        <f t="shared" si="2"/>
        <v>5</v>
      </c>
      <c r="J40" s="62">
        <v>4.0</v>
      </c>
      <c r="K40" s="62">
        <v>3.0</v>
      </c>
      <c r="L40" s="62">
        <v>4.0</v>
      </c>
      <c r="M40" s="62">
        <v>4.0</v>
      </c>
      <c r="N40" s="62">
        <v>4.0</v>
      </c>
      <c r="O40" s="306">
        <f t="shared" si="12"/>
        <v>4</v>
      </c>
      <c r="P40" s="62">
        <v>4.0</v>
      </c>
      <c r="Q40" s="62">
        <v>4.0</v>
      </c>
      <c r="R40" s="62">
        <v>3.0</v>
      </c>
      <c r="S40" s="307">
        <f t="shared" ref="S40:S49" si="13">SUM(P40:R40)/3</f>
        <v>3.666666667</v>
      </c>
      <c r="T40" s="62">
        <v>4.0</v>
      </c>
      <c r="U40" s="62">
        <v>4.0</v>
      </c>
      <c r="V40" s="62">
        <v>3.0</v>
      </c>
      <c r="W40" s="308">
        <f t="shared" si="5"/>
        <v>3.666666667</v>
      </c>
      <c r="X40" s="62">
        <v>5.0</v>
      </c>
      <c r="Y40" s="62">
        <v>5.0</v>
      </c>
      <c r="Z40" s="62">
        <v>5.0</v>
      </c>
      <c r="AA40" s="62">
        <v>4.0</v>
      </c>
      <c r="AB40" s="212">
        <f t="shared" si="6"/>
        <v>4.75</v>
      </c>
      <c r="AC40" s="250">
        <v>4.0</v>
      </c>
      <c r="AD40" s="250">
        <v>4.0</v>
      </c>
      <c r="AE40" s="213">
        <v>4.0</v>
      </c>
      <c r="AF40" s="309">
        <f t="shared" si="7"/>
        <v>4</v>
      </c>
      <c r="AG40" s="63">
        <f t="shared" si="11"/>
        <v>4.108333333</v>
      </c>
      <c r="AH40" s="172"/>
      <c r="AI40" s="172"/>
      <c r="AJ40" s="172"/>
      <c r="AK40" s="172"/>
      <c r="AL40" s="172"/>
      <c r="AM40" s="172"/>
    </row>
    <row r="41" ht="15.75" customHeight="1">
      <c r="A41" s="142">
        <v>34.0</v>
      </c>
      <c r="B41" s="312" t="s">
        <v>303</v>
      </c>
      <c r="C41" s="62" t="s">
        <v>45</v>
      </c>
      <c r="D41" s="119">
        <v>6.0</v>
      </c>
      <c r="E41" s="119">
        <v>6.0</v>
      </c>
      <c r="F41" s="305">
        <f t="shared" si="1"/>
        <v>6</v>
      </c>
      <c r="G41" s="62">
        <v>6.0</v>
      </c>
      <c r="H41" s="62">
        <v>6.0</v>
      </c>
      <c r="I41" s="209">
        <f t="shared" si="2"/>
        <v>6</v>
      </c>
      <c r="J41" s="62">
        <v>4.0</v>
      </c>
      <c r="K41" s="62">
        <v>3.0</v>
      </c>
      <c r="L41" s="62">
        <v>4.0</v>
      </c>
      <c r="M41" s="62">
        <v>4.0</v>
      </c>
      <c r="N41" s="62">
        <v>4.0</v>
      </c>
      <c r="O41" s="306">
        <f t="shared" si="12"/>
        <v>4</v>
      </c>
      <c r="P41" s="62">
        <v>4.0</v>
      </c>
      <c r="Q41" s="62">
        <v>4.0</v>
      </c>
      <c r="R41" s="62">
        <v>4.0</v>
      </c>
      <c r="S41" s="307">
        <f t="shared" si="13"/>
        <v>4</v>
      </c>
      <c r="T41" s="62">
        <v>4.0</v>
      </c>
      <c r="U41" s="62">
        <v>4.0</v>
      </c>
      <c r="V41" s="62">
        <v>4.0</v>
      </c>
      <c r="W41" s="308">
        <f t="shared" si="5"/>
        <v>4</v>
      </c>
      <c r="X41" s="62">
        <v>5.0</v>
      </c>
      <c r="Y41" s="62">
        <v>5.0</v>
      </c>
      <c r="Z41" s="62">
        <v>5.0</v>
      </c>
      <c r="AA41" s="62">
        <v>4.0</v>
      </c>
      <c r="AB41" s="212">
        <f t="shared" si="6"/>
        <v>4.75</v>
      </c>
      <c r="AC41" s="250">
        <v>4.0</v>
      </c>
      <c r="AD41" s="250">
        <v>4.0</v>
      </c>
      <c r="AE41" s="213">
        <v>4.0</v>
      </c>
      <c r="AF41" s="309">
        <f t="shared" si="7"/>
        <v>4</v>
      </c>
      <c r="AG41" s="63">
        <f t="shared" si="11"/>
        <v>4.375</v>
      </c>
      <c r="AH41" s="172"/>
      <c r="AI41" s="172"/>
      <c r="AJ41" s="172"/>
      <c r="AK41" s="172"/>
      <c r="AL41" s="172"/>
      <c r="AM41" s="172"/>
    </row>
    <row r="42" ht="15.75" customHeight="1">
      <c r="A42" s="142">
        <v>35.0</v>
      </c>
      <c r="B42" s="312" t="s">
        <v>304</v>
      </c>
      <c r="C42" s="62" t="s">
        <v>45</v>
      </c>
      <c r="D42" s="119">
        <v>5.0</v>
      </c>
      <c r="E42" s="119">
        <v>5.0</v>
      </c>
      <c r="F42" s="305">
        <f t="shared" si="1"/>
        <v>5</v>
      </c>
      <c r="G42" s="62">
        <v>5.0</v>
      </c>
      <c r="H42" s="62">
        <v>5.0</v>
      </c>
      <c r="I42" s="209">
        <f t="shared" si="2"/>
        <v>5</v>
      </c>
      <c r="J42" s="62">
        <v>4.0</v>
      </c>
      <c r="K42" s="62">
        <v>2.0</v>
      </c>
      <c r="L42" s="62">
        <v>4.0</v>
      </c>
      <c r="M42" s="62">
        <v>4.0</v>
      </c>
      <c r="N42" s="62">
        <v>4.0</v>
      </c>
      <c r="O42" s="306">
        <f t="shared" si="12"/>
        <v>4</v>
      </c>
      <c r="P42" s="62">
        <v>4.0</v>
      </c>
      <c r="Q42" s="62">
        <v>4.0</v>
      </c>
      <c r="R42" s="62">
        <v>3.0</v>
      </c>
      <c r="S42" s="307">
        <f t="shared" si="13"/>
        <v>3.666666667</v>
      </c>
      <c r="T42" s="62">
        <v>4.0</v>
      </c>
      <c r="U42" s="62">
        <v>4.0</v>
      </c>
      <c r="V42" s="62">
        <v>3.0</v>
      </c>
      <c r="W42" s="308">
        <f t="shared" si="5"/>
        <v>3.666666667</v>
      </c>
      <c r="X42" s="62">
        <v>4.0</v>
      </c>
      <c r="Y42" s="62">
        <v>4.0</v>
      </c>
      <c r="Z42" s="62">
        <v>4.0</v>
      </c>
      <c r="AA42" s="62">
        <v>3.0</v>
      </c>
      <c r="AB42" s="212">
        <f t="shared" si="6"/>
        <v>3.75</v>
      </c>
      <c r="AC42" s="250">
        <v>3.0</v>
      </c>
      <c r="AD42" s="250">
        <v>3.0</v>
      </c>
      <c r="AE42" s="213">
        <v>3.0</v>
      </c>
      <c r="AF42" s="309">
        <f t="shared" si="7"/>
        <v>3</v>
      </c>
      <c r="AG42" s="63">
        <f t="shared" si="11"/>
        <v>3.808333333</v>
      </c>
      <c r="AH42" s="172"/>
      <c r="AI42" s="172"/>
      <c r="AJ42" s="172"/>
      <c r="AK42" s="172"/>
      <c r="AL42" s="172"/>
      <c r="AM42" s="172"/>
    </row>
    <row r="43" ht="15.75" customHeight="1">
      <c r="A43" s="142">
        <v>36.0</v>
      </c>
      <c r="B43" s="312" t="s">
        <v>305</v>
      </c>
      <c r="C43" s="62" t="s">
        <v>45</v>
      </c>
      <c r="D43" s="119">
        <v>5.0</v>
      </c>
      <c r="E43" s="119">
        <v>5.0</v>
      </c>
      <c r="F43" s="305">
        <f t="shared" si="1"/>
        <v>5</v>
      </c>
      <c r="G43" s="62">
        <v>5.0</v>
      </c>
      <c r="H43" s="62">
        <v>5.0</v>
      </c>
      <c r="I43" s="209">
        <f t="shared" si="2"/>
        <v>5</v>
      </c>
      <c r="J43" s="62">
        <v>4.0</v>
      </c>
      <c r="K43" s="62">
        <v>3.0</v>
      </c>
      <c r="L43" s="62">
        <v>4.0</v>
      </c>
      <c r="M43" s="62">
        <v>4.0</v>
      </c>
      <c r="N43" s="62">
        <v>4.0</v>
      </c>
      <c r="O43" s="306">
        <f t="shared" si="12"/>
        <v>4</v>
      </c>
      <c r="P43" s="62">
        <v>4.0</v>
      </c>
      <c r="Q43" s="62">
        <v>4.0</v>
      </c>
      <c r="R43" s="62">
        <v>3.0</v>
      </c>
      <c r="S43" s="307">
        <f t="shared" si="13"/>
        <v>3.666666667</v>
      </c>
      <c r="T43" s="62">
        <v>4.0</v>
      </c>
      <c r="U43" s="62">
        <v>4.0</v>
      </c>
      <c r="V43" s="62">
        <v>3.0</v>
      </c>
      <c r="W43" s="308">
        <f t="shared" si="5"/>
        <v>3.666666667</v>
      </c>
      <c r="X43" s="62">
        <v>5.0</v>
      </c>
      <c r="Y43" s="62">
        <v>5.0</v>
      </c>
      <c r="Z43" s="62">
        <v>4.0</v>
      </c>
      <c r="AA43" s="62">
        <v>3.0</v>
      </c>
      <c r="AB43" s="212">
        <f t="shared" si="6"/>
        <v>4.25</v>
      </c>
      <c r="AC43" s="250">
        <v>3.0</v>
      </c>
      <c r="AD43" s="250">
        <v>4.0</v>
      </c>
      <c r="AE43" s="213">
        <v>4.0</v>
      </c>
      <c r="AF43" s="309">
        <f t="shared" si="7"/>
        <v>3.666666667</v>
      </c>
      <c r="AG43" s="63">
        <f t="shared" si="11"/>
        <v>4.025</v>
      </c>
      <c r="AH43" s="172"/>
      <c r="AI43" s="172"/>
      <c r="AJ43" s="172"/>
      <c r="AK43" s="172"/>
      <c r="AL43" s="172"/>
      <c r="AM43" s="172"/>
    </row>
    <row r="44" ht="15.75" customHeight="1">
      <c r="A44" s="142">
        <v>37.0</v>
      </c>
      <c r="B44" s="312" t="s">
        <v>306</v>
      </c>
      <c r="C44" s="327" t="s">
        <v>45</v>
      </c>
      <c r="D44" s="119">
        <v>5.0</v>
      </c>
      <c r="E44" s="119">
        <v>5.0</v>
      </c>
      <c r="F44" s="305">
        <f t="shared" si="1"/>
        <v>5</v>
      </c>
      <c r="G44" s="62">
        <v>5.0</v>
      </c>
      <c r="H44" s="62">
        <v>5.0</v>
      </c>
      <c r="I44" s="209">
        <f t="shared" si="2"/>
        <v>5</v>
      </c>
      <c r="J44" s="62">
        <v>4.0</v>
      </c>
      <c r="K44" s="62">
        <v>3.0</v>
      </c>
      <c r="L44" s="62">
        <v>4.0</v>
      </c>
      <c r="M44" s="62">
        <v>4.0</v>
      </c>
      <c r="N44" s="62">
        <v>4.0</v>
      </c>
      <c r="O44" s="306">
        <f t="shared" si="12"/>
        <v>4</v>
      </c>
      <c r="P44" s="62">
        <v>4.0</v>
      </c>
      <c r="Q44" s="62">
        <v>4.0</v>
      </c>
      <c r="R44" s="62">
        <v>3.0</v>
      </c>
      <c r="S44" s="307">
        <f t="shared" si="13"/>
        <v>3.666666667</v>
      </c>
      <c r="T44" s="62">
        <v>4.0</v>
      </c>
      <c r="U44" s="62">
        <v>4.0</v>
      </c>
      <c r="V44" s="62">
        <v>3.0</v>
      </c>
      <c r="W44" s="308">
        <f t="shared" si="5"/>
        <v>3.666666667</v>
      </c>
      <c r="X44" s="62">
        <v>5.0</v>
      </c>
      <c r="Y44" s="62">
        <v>5.0</v>
      </c>
      <c r="Z44" s="62">
        <v>4.0</v>
      </c>
      <c r="AA44" s="62">
        <v>3.0</v>
      </c>
      <c r="AB44" s="212">
        <f t="shared" si="6"/>
        <v>4.25</v>
      </c>
      <c r="AC44" s="250">
        <v>3.0</v>
      </c>
      <c r="AD44" s="250">
        <v>4.0</v>
      </c>
      <c r="AE44" s="213">
        <v>4.0</v>
      </c>
      <c r="AF44" s="309">
        <f t="shared" si="7"/>
        <v>3.666666667</v>
      </c>
      <c r="AG44" s="63">
        <f t="shared" si="11"/>
        <v>4.025</v>
      </c>
      <c r="AH44" s="172"/>
      <c r="AI44" s="172"/>
      <c r="AJ44" s="172"/>
      <c r="AK44" s="172"/>
      <c r="AL44" s="172"/>
      <c r="AM44" s="172"/>
    </row>
    <row r="45" ht="15.75" customHeight="1">
      <c r="A45" s="142">
        <v>38.0</v>
      </c>
      <c r="B45" s="312" t="s">
        <v>307</v>
      </c>
      <c r="C45" s="328" t="s">
        <v>45</v>
      </c>
      <c r="D45" s="119">
        <v>5.0</v>
      </c>
      <c r="E45" s="119">
        <v>5.0</v>
      </c>
      <c r="F45" s="305">
        <f t="shared" si="1"/>
        <v>5</v>
      </c>
      <c r="G45" s="62">
        <v>5.0</v>
      </c>
      <c r="H45" s="62">
        <v>5.0</v>
      </c>
      <c r="I45" s="209">
        <f t="shared" si="2"/>
        <v>5</v>
      </c>
      <c r="J45" s="62">
        <v>4.0</v>
      </c>
      <c r="K45" s="62">
        <v>3.0</v>
      </c>
      <c r="L45" s="62">
        <v>4.0</v>
      </c>
      <c r="M45" s="62">
        <v>4.0</v>
      </c>
      <c r="N45" s="62">
        <v>4.0</v>
      </c>
      <c r="O45" s="306">
        <f t="shared" si="12"/>
        <v>4</v>
      </c>
      <c r="P45" s="62">
        <v>4.0</v>
      </c>
      <c r="Q45" s="62">
        <v>4.0</v>
      </c>
      <c r="R45" s="62">
        <v>3.0</v>
      </c>
      <c r="S45" s="307">
        <f t="shared" si="13"/>
        <v>3.666666667</v>
      </c>
      <c r="T45" s="62">
        <v>4.0</v>
      </c>
      <c r="U45" s="62">
        <v>4.0</v>
      </c>
      <c r="V45" s="62">
        <v>3.0</v>
      </c>
      <c r="W45" s="308">
        <f t="shared" si="5"/>
        <v>3.666666667</v>
      </c>
      <c r="X45" s="62">
        <v>5.0</v>
      </c>
      <c r="Y45" s="62">
        <v>5.0</v>
      </c>
      <c r="Z45" s="62">
        <v>4.0</v>
      </c>
      <c r="AA45" s="62">
        <v>4.0</v>
      </c>
      <c r="AB45" s="212">
        <f t="shared" si="6"/>
        <v>4.5</v>
      </c>
      <c r="AC45" s="250">
        <v>4.0</v>
      </c>
      <c r="AD45" s="250">
        <v>4.0</v>
      </c>
      <c r="AE45" s="213">
        <v>4.0</v>
      </c>
      <c r="AF45" s="309">
        <f t="shared" si="7"/>
        <v>4</v>
      </c>
      <c r="AG45" s="63">
        <f t="shared" si="11"/>
        <v>4.083333333</v>
      </c>
      <c r="AH45" s="172"/>
      <c r="AI45" s="172"/>
      <c r="AJ45" s="172"/>
      <c r="AK45" s="172"/>
      <c r="AL45" s="172"/>
      <c r="AM45" s="172"/>
    </row>
    <row r="46" ht="15.75" customHeight="1">
      <c r="A46" s="142">
        <v>39.0</v>
      </c>
      <c r="B46" s="312" t="s">
        <v>308</v>
      </c>
      <c r="C46" s="328" t="s">
        <v>45</v>
      </c>
      <c r="D46" s="119">
        <v>6.0</v>
      </c>
      <c r="E46" s="119">
        <v>6.0</v>
      </c>
      <c r="F46" s="305">
        <f t="shared" si="1"/>
        <v>6</v>
      </c>
      <c r="G46" s="62">
        <v>6.0</v>
      </c>
      <c r="H46" s="62">
        <v>6.0</v>
      </c>
      <c r="I46" s="209">
        <f t="shared" si="2"/>
        <v>6</v>
      </c>
      <c r="J46" s="62">
        <v>5.0</v>
      </c>
      <c r="K46" s="62">
        <v>6.0</v>
      </c>
      <c r="L46" s="62">
        <v>6.0</v>
      </c>
      <c r="M46" s="62">
        <v>6.0</v>
      </c>
      <c r="N46" s="62">
        <v>6.0</v>
      </c>
      <c r="O46" s="306">
        <f t="shared" si="12"/>
        <v>6</v>
      </c>
      <c r="P46" s="62">
        <v>6.0</v>
      </c>
      <c r="Q46" s="62">
        <v>6.0</v>
      </c>
      <c r="R46" s="62">
        <v>6.0</v>
      </c>
      <c r="S46" s="307">
        <f t="shared" si="13"/>
        <v>6</v>
      </c>
      <c r="T46" s="62">
        <v>6.0</v>
      </c>
      <c r="U46" s="62">
        <v>6.0</v>
      </c>
      <c r="V46" s="62">
        <v>6.0</v>
      </c>
      <c r="W46" s="308">
        <f t="shared" si="5"/>
        <v>6</v>
      </c>
      <c r="X46" s="62">
        <v>6.0</v>
      </c>
      <c r="Y46" s="62">
        <v>6.0</v>
      </c>
      <c r="Z46" s="62">
        <v>6.0</v>
      </c>
      <c r="AA46" s="62">
        <v>5.0</v>
      </c>
      <c r="AB46" s="212">
        <f t="shared" si="6"/>
        <v>5.75</v>
      </c>
      <c r="AC46" s="250">
        <v>6.0</v>
      </c>
      <c r="AD46" s="250">
        <v>6.0</v>
      </c>
      <c r="AE46" s="213">
        <v>6.0</v>
      </c>
      <c r="AF46" s="309">
        <f t="shared" si="7"/>
        <v>6</v>
      </c>
      <c r="AG46" s="63">
        <f t="shared" si="11"/>
        <v>5.875</v>
      </c>
      <c r="AH46" s="172"/>
      <c r="AI46" s="172"/>
      <c r="AJ46" s="172"/>
      <c r="AK46" s="172"/>
      <c r="AL46" s="172"/>
      <c r="AM46" s="172"/>
    </row>
    <row r="47" ht="15.75" customHeight="1">
      <c r="A47" s="142">
        <v>40.0</v>
      </c>
      <c r="B47" s="130"/>
      <c r="C47" s="328"/>
      <c r="D47" s="119"/>
      <c r="E47" s="119"/>
      <c r="F47" s="305">
        <f t="shared" si="1"/>
        <v>0</v>
      </c>
      <c r="G47" s="87"/>
      <c r="H47" s="87"/>
      <c r="I47" s="209">
        <f t="shared" si="2"/>
        <v>0</v>
      </c>
      <c r="J47" s="87"/>
      <c r="K47" s="87"/>
      <c r="L47" s="87"/>
      <c r="M47" s="87"/>
      <c r="N47" s="87"/>
      <c r="O47" s="306">
        <f t="shared" si="12"/>
        <v>0</v>
      </c>
      <c r="P47" s="87"/>
      <c r="Q47" s="87"/>
      <c r="R47" s="87"/>
      <c r="S47" s="307">
        <f t="shared" si="13"/>
        <v>0</v>
      </c>
      <c r="T47" s="87"/>
      <c r="U47" s="87"/>
      <c r="V47" s="87"/>
      <c r="W47" s="308">
        <f t="shared" si="5"/>
        <v>0</v>
      </c>
      <c r="X47" s="87"/>
      <c r="Y47" s="87"/>
      <c r="Z47" s="87"/>
      <c r="AA47" s="87"/>
      <c r="AB47" s="212">
        <f t="shared" si="6"/>
        <v>0</v>
      </c>
      <c r="AC47" s="87"/>
      <c r="AD47" s="87"/>
      <c r="AE47" s="87"/>
      <c r="AF47" s="309">
        <f t="shared" si="7"/>
        <v>0</v>
      </c>
      <c r="AG47" s="63">
        <f t="shared" si="11"/>
        <v>0</v>
      </c>
      <c r="AH47" s="172"/>
      <c r="AI47" s="172"/>
      <c r="AJ47" s="172"/>
      <c r="AK47" s="172"/>
      <c r="AL47" s="172"/>
      <c r="AM47" s="172"/>
    </row>
    <row r="48" ht="15.75" customHeight="1">
      <c r="A48" s="142">
        <v>41.0</v>
      </c>
      <c r="B48" s="130"/>
      <c r="C48" s="328"/>
      <c r="D48" s="119"/>
      <c r="E48" s="119"/>
      <c r="F48" s="305">
        <f t="shared" si="1"/>
        <v>0</v>
      </c>
      <c r="G48" s="87"/>
      <c r="H48" s="87"/>
      <c r="I48" s="209">
        <f t="shared" si="2"/>
        <v>0</v>
      </c>
      <c r="J48" s="87"/>
      <c r="K48" s="87"/>
      <c r="L48" s="87"/>
      <c r="M48" s="87"/>
      <c r="N48" s="87"/>
      <c r="O48" s="306">
        <f t="shared" si="12"/>
        <v>0</v>
      </c>
      <c r="P48" s="87"/>
      <c r="Q48" s="87"/>
      <c r="R48" s="87"/>
      <c r="S48" s="307">
        <f t="shared" si="13"/>
        <v>0</v>
      </c>
      <c r="T48" s="87"/>
      <c r="U48" s="87"/>
      <c r="V48" s="87"/>
      <c r="W48" s="308">
        <f t="shared" si="5"/>
        <v>0</v>
      </c>
      <c r="X48" s="87"/>
      <c r="Y48" s="87"/>
      <c r="Z48" s="87"/>
      <c r="AA48" s="87"/>
      <c r="AB48" s="212">
        <f t="shared" si="6"/>
        <v>0</v>
      </c>
      <c r="AC48" s="87"/>
      <c r="AD48" s="87"/>
      <c r="AE48" s="87"/>
      <c r="AF48" s="309">
        <f t="shared" si="7"/>
        <v>0</v>
      </c>
      <c r="AG48" s="63">
        <f t="shared" si="11"/>
        <v>0</v>
      </c>
      <c r="AH48" s="172"/>
      <c r="AI48" s="172"/>
      <c r="AJ48" s="172"/>
      <c r="AK48" s="172"/>
      <c r="AL48" s="172"/>
      <c r="AM48" s="172"/>
    </row>
    <row r="49" ht="15.75" customHeight="1">
      <c r="A49" s="142">
        <v>42.0</v>
      </c>
      <c r="B49" s="87"/>
      <c r="C49" s="87"/>
      <c r="D49" s="87"/>
      <c r="E49" s="87"/>
      <c r="F49" s="305">
        <f t="shared" si="1"/>
        <v>0</v>
      </c>
      <c r="G49" s="87"/>
      <c r="H49" s="87"/>
      <c r="I49" s="209">
        <f t="shared" si="2"/>
        <v>0</v>
      </c>
      <c r="J49" s="87"/>
      <c r="K49" s="87"/>
      <c r="L49" s="87"/>
      <c r="M49" s="87"/>
      <c r="N49" s="87"/>
      <c r="O49" s="306">
        <f t="shared" si="12"/>
        <v>0</v>
      </c>
      <c r="P49" s="87"/>
      <c r="Q49" s="87"/>
      <c r="R49" s="87"/>
      <c r="S49" s="307">
        <f t="shared" si="13"/>
        <v>0</v>
      </c>
      <c r="T49" s="87"/>
      <c r="U49" s="87"/>
      <c r="V49" s="87"/>
      <c r="W49" s="308">
        <f t="shared" si="5"/>
        <v>0</v>
      </c>
      <c r="X49" s="87"/>
      <c r="Y49" s="87"/>
      <c r="Z49" s="87"/>
      <c r="AA49" s="87"/>
      <c r="AB49" s="212">
        <f t="shared" si="6"/>
        <v>0</v>
      </c>
      <c r="AC49" s="87"/>
      <c r="AD49" s="87"/>
      <c r="AE49" s="87"/>
      <c r="AF49" s="309">
        <f t="shared" si="7"/>
        <v>0</v>
      </c>
      <c r="AG49" s="63">
        <f t="shared" si="11"/>
        <v>0</v>
      </c>
      <c r="AH49" s="172"/>
      <c r="AI49" s="172"/>
      <c r="AJ49" s="172"/>
      <c r="AK49" s="172"/>
      <c r="AL49" s="172"/>
      <c r="AM49" s="172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6:B7"/>
    <mergeCell ref="C6:C7"/>
    <mergeCell ref="D6:F6"/>
    <mergeCell ref="G6:I6"/>
    <mergeCell ref="M6:O6"/>
    <mergeCell ref="P6:S6"/>
    <mergeCell ref="T6:W6"/>
    <mergeCell ref="X6:AB6"/>
    <mergeCell ref="AC6:AF6"/>
    <mergeCell ref="AG6:AG7"/>
    <mergeCell ref="A1:AG1"/>
    <mergeCell ref="C3:P3"/>
    <mergeCell ref="Q3:U3"/>
    <mergeCell ref="V3:AE3"/>
    <mergeCell ref="C4:P4"/>
    <mergeCell ref="V4:AE4"/>
    <mergeCell ref="A6:A7"/>
  </mergeCells>
  <printOptions/>
  <pageMargins bottom="0.75" footer="0.0" header="0.0" left="0.7" right="0.7" top="0.7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0"/>
    <col customWidth="1" min="2" max="2" width="39.0"/>
    <col customWidth="1" min="3" max="4" width="3.44"/>
    <col customWidth="1" min="5" max="5" width="3.67"/>
    <col customWidth="1" min="6" max="6" width="4.0"/>
    <col customWidth="1" min="7" max="8" width="3.67"/>
    <col customWidth="1" min="9" max="9" width="4.0"/>
    <col customWidth="1" min="10" max="10" width="3.44"/>
    <col customWidth="1" min="11" max="11" width="3.67"/>
    <col customWidth="1" min="12" max="13" width="3.44"/>
    <col customWidth="1" min="14" max="14" width="3.33"/>
    <col customWidth="1" min="15" max="15" width="3.78"/>
    <col customWidth="1" min="16" max="16" width="3.67"/>
    <col customWidth="1" min="17" max="17" width="3.44"/>
    <col customWidth="1" min="18" max="19" width="3.67"/>
    <col customWidth="1" min="20" max="20" width="3.78"/>
    <col customWidth="1" min="21" max="21" width="3.67"/>
    <col customWidth="1" min="22" max="23" width="3.78"/>
    <col customWidth="1" min="24" max="24" width="4.0"/>
    <col customWidth="1" min="25" max="25" width="3.78"/>
    <col customWidth="1" min="26" max="26" width="3.67"/>
    <col customWidth="1" min="27" max="27" width="3.78"/>
    <col customWidth="1" min="28" max="28" width="4.0"/>
    <col customWidth="1" min="29" max="29" width="3.67"/>
    <col customWidth="1" min="30" max="30" width="3.78"/>
    <col customWidth="1" min="31" max="31" width="3.44"/>
    <col customWidth="1" min="32" max="32" width="3.78"/>
    <col customWidth="1" min="33" max="33" width="4.0"/>
    <col customWidth="1" min="34" max="34" width="3.11"/>
    <col customWidth="1" min="35" max="38" width="3.67"/>
    <col customWidth="1" min="39" max="39" width="4.67"/>
  </cols>
  <sheetData>
    <row r="1" ht="25.5" customHeight="1">
      <c r="A1" s="173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15.75" customHeight="1">
      <c r="A2" s="4"/>
      <c r="B2" s="5"/>
      <c r="C2" s="5"/>
      <c r="D2" s="5"/>
      <c r="E2" s="5"/>
      <c r="F2" s="5"/>
      <c r="K2" s="5"/>
      <c r="L2" s="5"/>
      <c r="M2" s="5"/>
      <c r="N2" s="5"/>
      <c r="O2" s="5"/>
      <c r="P2" s="5"/>
      <c r="Q2" s="5"/>
      <c r="R2" s="5"/>
      <c r="S2" s="5"/>
      <c r="T2" s="5"/>
      <c r="AM2" s="7"/>
    </row>
    <row r="3" ht="25.5" customHeight="1">
      <c r="A3" s="8"/>
      <c r="B3" s="9" t="s">
        <v>1</v>
      </c>
      <c r="C3" s="10" t="s">
        <v>2</v>
      </c>
      <c r="Q3" s="9" t="s">
        <v>310</v>
      </c>
      <c r="V3" s="11" t="s">
        <v>311</v>
      </c>
      <c r="AM3" s="7"/>
    </row>
    <row r="4" ht="22.5" customHeight="1">
      <c r="A4" s="12"/>
      <c r="B4" s="13" t="s">
        <v>5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312</v>
      </c>
      <c r="R4" s="13"/>
      <c r="S4" s="13"/>
      <c r="T4" s="13"/>
      <c r="U4" s="13"/>
      <c r="V4" s="13" t="s">
        <v>313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8"/>
    </row>
    <row r="5" ht="15.75" customHeight="1">
      <c r="A5" s="19"/>
      <c r="B5" s="19"/>
      <c r="C5" s="19"/>
    </row>
    <row r="6" ht="15.75" customHeight="1">
      <c r="A6" s="176" t="s">
        <v>9</v>
      </c>
      <c r="B6" s="176" t="s">
        <v>10</v>
      </c>
      <c r="C6" s="329" t="s">
        <v>11</v>
      </c>
      <c r="D6" s="22" t="s">
        <v>12</v>
      </c>
      <c r="E6" s="23"/>
      <c r="F6" s="24"/>
      <c r="G6" s="330" t="s">
        <v>53</v>
      </c>
      <c r="H6" s="23"/>
      <c r="I6" s="24"/>
      <c r="J6" s="331" t="s">
        <v>131</v>
      </c>
      <c r="K6" s="332" t="s">
        <v>132</v>
      </c>
      <c r="L6" s="23"/>
      <c r="M6" s="23"/>
      <c r="N6" s="24"/>
      <c r="O6" s="333" t="s">
        <v>133</v>
      </c>
      <c r="P6" s="334" t="s">
        <v>14</v>
      </c>
      <c r="Q6" s="23"/>
      <c r="R6" s="23"/>
      <c r="S6" s="23"/>
      <c r="T6" s="24"/>
      <c r="U6" s="26" t="s">
        <v>15</v>
      </c>
      <c r="V6" s="23"/>
      <c r="W6" s="23"/>
      <c r="X6" s="24"/>
      <c r="Y6" s="273" t="s">
        <v>16</v>
      </c>
      <c r="Z6" s="23"/>
      <c r="AA6" s="335"/>
      <c r="AB6" s="336"/>
      <c r="AC6" s="25" t="s">
        <v>17</v>
      </c>
      <c r="AD6" s="23"/>
      <c r="AE6" s="23"/>
      <c r="AF6" s="23"/>
      <c r="AG6" s="24"/>
      <c r="AH6" s="28" t="s">
        <v>18</v>
      </c>
      <c r="AI6" s="23"/>
      <c r="AJ6" s="23"/>
      <c r="AK6" s="23"/>
      <c r="AL6" s="24"/>
      <c r="AM6" s="337" t="s">
        <v>19</v>
      </c>
    </row>
    <row r="7" ht="57.75" customHeight="1">
      <c r="A7" s="188"/>
      <c r="B7" s="188"/>
      <c r="C7" s="188"/>
      <c r="D7" s="217" t="s">
        <v>314</v>
      </c>
      <c r="E7" s="218" t="s">
        <v>315</v>
      </c>
      <c r="F7" s="219" t="s">
        <v>20</v>
      </c>
      <c r="G7" s="338" t="s">
        <v>314</v>
      </c>
      <c r="H7" s="339" t="s">
        <v>315</v>
      </c>
      <c r="I7" s="340" t="s">
        <v>20</v>
      </c>
      <c r="J7" s="341" t="s">
        <v>22</v>
      </c>
      <c r="K7" s="342" t="s">
        <v>316</v>
      </c>
      <c r="L7" s="343" t="s">
        <v>317</v>
      </c>
      <c r="M7" s="343" t="s">
        <v>318</v>
      </c>
      <c r="N7" s="344" t="s">
        <v>20</v>
      </c>
      <c r="O7" s="345" t="s">
        <v>319</v>
      </c>
      <c r="P7" s="346" t="s">
        <v>320</v>
      </c>
      <c r="Q7" s="347" t="s">
        <v>321</v>
      </c>
      <c r="R7" s="347" t="s">
        <v>322</v>
      </c>
      <c r="S7" s="347" t="s">
        <v>323</v>
      </c>
      <c r="T7" s="348" t="s">
        <v>20</v>
      </c>
      <c r="U7" s="349" t="s">
        <v>324</v>
      </c>
      <c r="V7" s="350" t="s">
        <v>325</v>
      </c>
      <c r="W7" s="351" t="s">
        <v>326</v>
      </c>
      <c r="X7" s="352" t="s">
        <v>20</v>
      </c>
      <c r="Y7" s="286" t="s">
        <v>327</v>
      </c>
      <c r="Z7" s="287" t="s">
        <v>328</v>
      </c>
      <c r="AA7" s="353" t="s">
        <v>329</v>
      </c>
      <c r="AB7" s="288" t="s">
        <v>20</v>
      </c>
      <c r="AC7" s="238" t="s">
        <v>330</v>
      </c>
      <c r="AD7" s="239" t="s">
        <v>331</v>
      </c>
      <c r="AE7" s="239" t="s">
        <v>332</v>
      </c>
      <c r="AF7" s="354" t="s">
        <v>333</v>
      </c>
      <c r="AG7" s="240" t="s">
        <v>20</v>
      </c>
      <c r="AH7" s="355" t="s">
        <v>334</v>
      </c>
      <c r="AI7" s="356" t="s">
        <v>335</v>
      </c>
      <c r="AJ7" s="356" t="s">
        <v>336</v>
      </c>
      <c r="AK7" s="357" t="s">
        <v>337</v>
      </c>
      <c r="AL7" s="358" t="s">
        <v>20</v>
      </c>
      <c r="AM7" s="188"/>
    </row>
    <row r="8" ht="15.75" customHeight="1">
      <c r="A8" s="59">
        <v>1.0</v>
      </c>
      <c r="B8" s="130" t="s">
        <v>338</v>
      </c>
      <c r="C8" s="77" t="s">
        <v>45</v>
      </c>
      <c r="D8" s="155">
        <v>5.0</v>
      </c>
      <c r="E8" s="155">
        <v>4.0</v>
      </c>
      <c r="F8" s="359">
        <f t="shared" ref="F8:F45" si="1">SUM(D8:E8)/2</f>
        <v>4.5</v>
      </c>
      <c r="G8" s="155">
        <v>5.0</v>
      </c>
      <c r="H8" s="155">
        <v>4.0</v>
      </c>
      <c r="I8" s="360">
        <f t="shared" ref="I8:I45" si="2">SUM(G8:H8)/2</f>
        <v>4.5</v>
      </c>
      <c r="J8" s="156">
        <v>5.0</v>
      </c>
      <c r="K8" s="361">
        <v>4.0</v>
      </c>
      <c r="L8" s="62">
        <v>4.0</v>
      </c>
      <c r="M8" s="62">
        <v>4.0</v>
      </c>
      <c r="N8" s="362">
        <f t="shared" ref="N8:N45" si="3">SUM(L8:M8)/2</f>
        <v>4</v>
      </c>
      <c r="O8" s="156">
        <v>5.0</v>
      </c>
      <c r="P8" s="245">
        <v>4.0</v>
      </c>
      <c r="Q8" s="245">
        <v>5.0</v>
      </c>
      <c r="R8" s="155">
        <v>5.0</v>
      </c>
      <c r="S8" s="156">
        <v>5.0</v>
      </c>
      <c r="T8" s="363">
        <f t="shared" ref="T8:T45" si="4">SUM(Q8:S8)/3</f>
        <v>5</v>
      </c>
      <c r="U8" s="245">
        <v>4.0</v>
      </c>
      <c r="V8" s="245">
        <v>5.0</v>
      </c>
      <c r="W8" s="156">
        <v>5.0</v>
      </c>
      <c r="X8" s="158">
        <f t="shared" ref="X8:X45" si="5">SUM(U8:W8)/3</f>
        <v>4.666666667</v>
      </c>
      <c r="Y8" s="245">
        <v>4.0</v>
      </c>
      <c r="Z8" s="245">
        <v>5.0</v>
      </c>
      <c r="AA8" s="62">
        <v>4.0</v>
      </c>
      <c r="AB8" s="246">
        <f t="shared" ref="AB8:AB45" si="6">SUM(X8:AA8)/4</f>
        <v>4.416666667</v>
      </c>
      <c r="AC8" s="245">
        <v>4.0</v>
      </c>
      <c r="AD8" s="245">
        <v>5.0</v>
      </c>
      <c r="AE8" s="245">
        <v>5.0</v>
      </c>
      <c r="AF8" s="245">
        <v>5.0</v>
      </c>
      <c r="AG8" s="248">
        <f t="shared" ref="AG8:AG45" si="7">SUM(AD8:AF8)/3</f>
        <v>5</v>
      </c>
      <c r="AH8" s="245">
        <v>5.0</v>
      </c>
      <c r="AI8" s="245">
        <v>5.0</v>
      </c>
      <c r="AJ8" s="213">
        <v>5.0</v>
      </c>
      <c r="AK8" s="63">
        <v>5.0</v>
      </c>
      <c r="AL8" s="160">
        <f t="shared" ref="AL8:AL45" si="8">SUM(AI8:AK8)/3</f>
        <v>5</v>
      </c>
      <c r="AM8" s="364">
        <f t="shared" ref="AM8:AM45" si="9">SUM(AL8,AH8,AC8,Y8,U8,R8,Q8,P8,O8,L8)/10</f>
        <v>4.5</v>
      </c>
    </row>
    <row r="9" ht="15.75" customHeight="1">
      <c r="A9" s="74">
        <v>2.0</v>
      </c>
      <c r="B9" s="118" t="s">
        <v>339</v>
      </c>
      <c r="C9" s="77" t="s">
        <v>45</v>
      </c>
      <c r="D9" s="62">
        <v>5.0</v>
      </c>
      <c r="E9" s="62">
        <v>4.0</v>
      </c>
      <c r="F9" s="305">
        <f t="shared" si="1"/>
        <v>4.5</v>
      </c>
      <c r="G9" s="62">
        <v>5.0</v>
      </c>
      <c r="H9" s="62">
        <v>5.0</v>
      </c>
      <c r="I9" s="85">
        <f t="shared" si="2"/>
        <v>5</v>
      </c>
      <c r="J9" s="62">
        <v>5.0</v>
      </c>
      <c r="K9" s="361">
        <v>4.0</v>
      </c>
      <c r="L9" s="62">
        <v>4.0</v>
      </c>
      <c r="M9" s="62">
        <v>4.0</v>
      </c>
      <c r="N9" s="365">
        <f t="shared" si="3"/>
        <v>4</v>
      </c>
      <c r="O9" s="63">
        <v>5.0</v>
      </c>
      <c r="P9" s="250">
        <v>6.0</v>
      </c>
      <c r="Q9" s="250">
        <v>6.0</v>
      </c>
      <c r="R9" s="62">
        <v>5.0</v>
      </c>
      <c r="S9" s="63">
        <v>5.0</v>
      </c>
      <c r="T9" s="366">
        <f t="shared" si="4"/>
        <v>5.333333333</v>
      </c>
      <c r="U9" s="250">
        <v>6.0</v>
      </c>
      <c r="V9" s="250">
        <v>6.0</v>
      </c>
      <c r="W9" s="63">
        <v>5.0</v>
      </c>
      <c r="X9" s="68">
        <f t="shared" si="5"/>
        <v>5.666666667</v>
      </c>
      <c r="Y9" s="250">
        <v>6.0</v>
      </c>
      <c r="Z9" s="250">
        <v>6.0</v>
      </c>
      <c r="AA9" s="62">
        <v>4.0</v>
      </c>
      <c r="AB9" s="212">
        <f t="shared" si="6"/>
        <v>5.416666667</v>
      </c>
      <c r="AC9" s="250">
        <v>6.0</v>
      </c>
      <c r="AD9" s="250">
        <v>6.0</v>
      </c>
      <c r="AE9" s="250">
        <v>5.0</v>
      </c>
      <c r="AF9" s="250">
        <v>6.0</v>
      </c>
      <c r="AG9" s="67">
        <f t="shared" si="7"/>
        <v>5.666666667</v>
      </c>
      <c r="AH9" s="250">
        <v>5.0</v>
      </c>
      <c r="AI9" s="250">
        <v>5.0</v>
      </c>
      <c r="AJ9" s="213">
        <v>5.0</v>
      </c>
      <c r="AK9" s="63">
        <v>5.0</v>
      </c>
      <c r="AL9" s="70">
        <f t="shared" si="8"/>
        <v>5</v>
      </c>
      <c r="AM9" s="364">
        <f t="shared" si="9"/>
        <v>5.4</v>
      </c>
    </row>
    <row r="10" ht="15.75" customHeight="1">
      <c r="A10" s="74">
        <v>3.0</v>
      </c>
      <c r="B10" s="367" t="s">
        <v>340</v>
      </c>
      <c r="C10" s="77" t="s">
        <v>45</v>
      </c>
      <c r="D10" s="62">
        <v>6.0</v>
      </c>
      <c r="E10" s="62">
        <v>5.0</v>
      </c>
      <c r="F10" s="305">
        <f t="shared" si="1"/>
        <v>5.5</v>
      </c>
      <c r="G10" s="62">
        <v>6.0</v>
      </c>
      <c r="H10" s="62">
        <v>6.0</v>
      </c>
      <c r="I10" s="85">
        <f t="shared" si="2"/>
        <v>6</v>
      </c>
      <c r="J10" s="62">
        <v>6.0</v>
      </c>
      <c r="K10" s="361">
        <v>6.0</v>
      </c>
      <c r="L10" s="62">
        <v>6.0</v>
      </c>
      <c r="M10" s="62">
        <v>6.0</v>
      </c>
      <c r="N10" s="365">
        <f t="shared" si="3"/>
        <v>6</v>
      </c>
      <c r="O10" s="63">
        <v>6.0</v>
      </c>
      <c r="P10" s="250">
        <v>6.0</v>
      </c>
      <c r="Q10" s="250">
        <v>6.0</v>
      </c>
      <c r="R10" s="62">
        <v>6.0</v>
      </c>
      <c r="S10" s="62">
        <v>6.0</v>
      </c>
      <c r="T10" s="366">
        <f t="shared" si="4"/>
        <v>6</v>
      </c>
      <c r="U10" s="250">
        <v>6.0</v>
      </c>
      <c r="V10" s="250">
        <v>6.0</v>
      </c>
      <c r="W10" s="63">
        <v>6.0</v>
      </c>
      <c r="X10" s="68">
        <f t="shared" si="5"/>
        <v>6</v>
      </c>
      <c r="Y10" s="250">
        <v>6.0</v>
      </c>
      <c r="Z10" s="250">
        <v>6.0</v>
      </c>
      <c r="AA10" s="62">
        <v>6.0</v>
      </c>
      <c r="AB10" s="212">
        <f t="shared" si="6"/>
        <v>6</v>
      </c>
      <c r="AC10" s="250">
        <v>6.0</v>
      </c>
      <c r="AD10" s="250">
        <v>6.0</v>
      </c>
      <c r="AE10" s="250">
        <v>6.0</v>
      </c>
      <c r="AF10" s="250">
        <v>6.0</v>
      </c>
      <c r="AG10" s="67">
        <f t="shared" si="7"/>
        <v>6</v>
      </c>
      <c r="AH10" s="250">
        <v>6.0</v>
      </c>
      <c r="AI10" s="250">
        <v>6.0</v>
      </c>
      <c r="AJ10" s="213">
        <v>6.0</v>
      </c>
      <c r="AK10" s="63">
        <v>6.0</v>
      </c>
      <c r="AL10" s="70">
        <f t="shared" si="8"/>
        <v>6</v>
      </c>
      <c r="AM10" s="364">
        <f t="shared" si="9"/>
        <v>6</v>
      </c>
    </row>
    <row r="11" ht="15.75" customHeight="1">
      <c r="A11" s="74">
        <v>4.0</v>
      </c>
      <c r="B11" s="118" t="s">
        <v>341</v>
      </c>
      <c r="C11" s="77" t="s">
        <v>45</v>
      </c>
      <c r="D11" s="62">
        <v>6.0</v>
      </c>
      <c r="E11" s="62">
        <v>5.0</v>
      </c>
      <c r="F11" s="305">
        <f t="shared" si="1"/>
        <v>5.5</v>
      </c>
      <c r="G11" s="62">
        <v>6.0</v>
      </c>
      <c r="H11" s="62">
        <v>6.0</v>
      </c>
      <c r="I11" s="85">
        <f t="shared" si="2"/>
        <v>6</v>
      </c>
      <c r="J11" s="62">
        <v>6.0</v>
      </c>
      <c r="K11" s="361">
        <v>6.0</v>
      </c>
      <c r="L11" s="62">
        <v>6.0</v>
      </c>
      <c r="M11" s="62">
        <v>6.0</v>
      </c>
      <c r="N11" s="365">
        <f t="shared" si="3"/>
        <v>6</v>
      </c>
      <c r="O11" s="63">
        <v>6.0</v>
      </c>
      <c r="P11" s="250">
        <v>6.0</v>
      </c>
      <c r="Q11" s="250">
        <v>6.0</v>
      </c>
      <c r="R11" s="62">
        <v>6.0</v>
      </c>
      <c r="S11" s="62">
        <v>6.0</v>
      </c>
      <c r="T11" s="366">
        <f t="shared" si="4"/>
        <v>6</v>
      </c>
      <c r="U11" s="250">
        <v>6.0</v>
      </c>
      <c r="V11" s="250">
        <v>6.0</v>
      </c>
      <c r="W11" s="63">
        <v>6.0</v>
      </c>
      <c r="X11" s="68">
        <f t="shared" si="5"/>
        <v>6</v>
      </c>
      <c r="Y11" s="250">
        <v>6.0</v>
      </c>
      <c r="Z11" s="250">
        <v>6.0</v>
      </c>
      <c r="AA11" s="62">
        <v>6.0</v>
      </c>
      <c r="AB11" s="212">
        <f t="shared" si="6"/>
        <v>6</v>
      </c>
      <c r="AC11" s="250">
        <v>6.0</v>
      </c>
      <c r="AD11" s="250">
        <v>6.0</v>
      </c>
      <c r="AE11" s="250">
        <v>6.0</v>
      </c>
      <c r="AF11" s="250">
        <v>6.0</v>
      </c>
      <c r="AG11" s="67">
        <f t="shared" si="7"/>
        <v>6</v>
      </c>
      <c r="AH11" s="250">
        <v>6.0</v>
      </c>
      <c r="AI11" s="250">
        <v>6.0</v>
      </c>
      <c r="AJ11" s="213">
        <v>6.0</v>
      </c>
      <c r="AK11" s="63">
        <v>6.0</v>
      </c>
      <c r="AL11" s="70">
        <f t="shared" si="8"/>
        <v>6</v>
      </c>
      <c r="AM11" s="364">
        <f t="shared" si="9"/>
        <v>6</v>
      </c>
    </row>
    <row r="12" ht="15.75" customHeight="1">
      <c r="A12" s="74">
        <v>5.0</v>
      </c>
      <c r="B12" s="118" t="s">
        <v>342</v>
      </c>
      <c r="C12" s="65" t="s">
        <v>44</v>
      </c>
      <c r="D12" s="62">
        <v>4.0</v>
      </c>
      <c r="E12" s="62">
        <v>4.0</v>
      </c>
      <c r="F12" s="305">
        <f t="shared" si="1"/>
        <v>4</v>
      </c>
      <c r="G12" s="62">
        <v>3.0</v>
      </c>
      <c r="H12" s="62">
        <v>3.0</v>
      </c>
      <c r="I12" s="85">
        <f t="shared" si="2"/>
        <v>3</v>
      </c>
      <c r="J12" s="62">
        <v>4.0</v>
      </c>
      <c r="K12" s="361">
        <v>4.0</v>
      </c>
      <c r="L12" s="62">
        <v>4.0</v>
      </c>
      <c r="M12" s="62">
        <v>4.0</v>
      </c>
      <c r="N12" s="365">
        <f t="shared" si="3"/>
        <v>4</v>
      </c>
      <c r="O12" s="63">
        <v>4.0</v>
      </c>
      <c r="P12" s="250">
        <v>4.0</v>
      </c>
      <c r="Q12" s="250">
        <v>4.0</v>
      </c>
      <c r="R12" s="62">
        <v>4.0</v>
      </c>
      <c r="S12" s="62">
        <v>4.0</v>
      </c>
      <c r="T12" s="366">
        <f t="shared" si="4"/>
        <v>4</v>
      </c>
      <c r="U12" s="250">
        <v>4.0</v>
      </c>
      <c r="V12" s="250">
        <v>4.0</v>
      </c>
      <c r="W12" s="63">
        <v>4.0</v>
      </c>
      <c r="X12" s="68">
        <f t="shared" si="5"/>
        <v>4</v>
      </c>
      <c r="Y12" s="250">
        <v>4.0</v>
      </c>
      <c r="Z12" s="250">
        <v>4.0</v>
      </c>
      <c r="AA12" s="62">
        <v>4.0</v>
      </c>
      <c r="AB12" s="212">
        <f t="shared" si="6"/>
        <v>4</v>
      </c>
      <c r="AC12" s="250">
        <v>4.0</v>
      </c>
      <c r="AD12" s="250">
        <v>4.0</v>
      </c>
      <c r="AE12" s="250">
        <v>3.0</v>
      </c>
      <c r="AF12" s="250">
        <v>3.0</v>
      </c>
      <c r="AG12" s="67">
        <f t="shared" si="7"/>
        <v>3.333333333</v>
      </c>
      <c r="AH12" s="250">
        <v>4.0</v>
      </c>
      <c r="AI12" s="250">
        <v>4.0</v>
      </c>
      <c r="AJ12" s="213">
        <v>3.0</v>
      </c>
      <c r="AK12" s="63">
        <v>3.0</v>
      </c>
      <c r="AL12" s="70">
        <f t="shared" si="8"/>
        <v>3.333333333</v>
      </c>
      <c r="AM12" s="364">
        <f t="shared" si="9"/>
        <v>3.933333333</v>
      </c>
    </row>
    <row r="13" ht="15.75" customHeight="1">
      <c r="A13" s="74">
        <v>6.0</v>
      </c>
      <c r="B13" s="118" t="s">
        <v>343</v>
      </c>
      <c r="C13" s="65" t="s">
        <v>44</v>
      </c>
      <c r="D13" s="62">
        <v>4.0</v>
      </c>
      <c r="E13" s="62">
        <v>4.0</v>
      </c>
      <c r="F13" s="305">
        <f t="shared" si="1"/>
        <v>4</v>
      </c>
      <c r="G13" s="62">
        <v>3.0</v>
      </c>
      <c r="H13" s="62">
        <v>3.0</v>
      </c>
      <c r="I13" s="85">
        <f t="shared" si="2"/>
        <v>3</v>
      </c>
      <c r="J13" s="62">
        <v>4.0</v>
      </c>
      <c r="K13" s="361">
        <v>4.0</v>
      </c>
      <c r="L13" s="62">
        <v>4.0</v>
      </c>
      <c r="M13" s="62">
        <v>4.0</v>
      </c>
      <c r="N13" s="365">
        <f t="shared" si="3"/>
        <v>4</v>
      </c>
      <c r="O13" s="63">
        <v>4.0</v>
      </c>
      <c r="P13" s="250">
        <v>4.0</v>
      </c>
      <c r="Q13" s="250">
        <v>4.0</v>
      </c>
      <c r="R13" s="62">
        <v>4.0</v>
      </c>
      <c r="S13" s="62">
        <v>4.0</v>
      </c>
      <c r="T13" s="366">
        <f t="shared" si="4"/>
        <v>4</v>
      </c>
      <c r="U13" s="250">
        <v>4.0</v>
      </c>
      <c r="V13" s="250">
        <v>4.0</v>
      </c>
      <c r="W13" s="63">
        <v>4.0</v>
      </c>
      <c r="X13" s="68">
        <f t="shared" si="5"/>
        <v>4</v>
      </c>
      <c r="Y13" s="250">
        <v>4.0</v>
      </c>
      <c r="Z13" s="250">
        <v>4.0</v>
      </c>
      <c r="AA13" s="62">
        <v>4.0</v>
      </c>
      <c r="AB13" s="212">
        <f t="shared" si="6"/>
        <v>4</v>
      </c>
      <c r="AC13" s="250">
        <v>4.0</v>
      </c>
      <c r="AD13" s="250">
        <v>4.0</v>
      </c>
      <c r="AE13" s="250">
        <v>3.0</v>
      </c>
      <c r="AF13" s="250">
        <v>3.0</v>
      </c>
      <c r="AG13" s="67">
        <f t="shared" si="7"/>
        <v>3.333333333</v>
      </c>
      <c r="AH13" s="250">
        <v>4.0</v>
      </c>
      <c r="AI13" s="250">
        <v>4.0</v>
      </c>
      <c r="AJ13" s="213">
        <v>3.0</v>
      </c>
      <c r="AK13" s="63">
        <v>3.0</v>
      </c>
      <c r="AL13" s="70">
        <f t="shared" si="8"/>
        <v>3.333333333</v>
      </c>
      <c r="AM13" s="364">
        <f t="shared" si="9"/>
        <v>3.933333333</v>
      </c>
    </row>
    <row r="14" ht="15.75" customHeight="1">
      <c r="A14" s="74">
        <v>7.0</v>
      </c>
      <c r="B14" s="118" t="s">
        <v>344</v>
      </c>
      <c r="C14" s="65" t="s">
        <v>45</v>
      </c>
      <c r="D14" s="155">
        <v>5.0</v>
      </c>
      <c r="E14" s="155">
        <v>4.0</v>
      </c>
      <c r="F14" s="359">
        <f t="shared" si="1"/>
        <v>4.5</v>
      </c>
      <c r="G14" s="155">
        <v>5.0</v>
      </c>
      <c r="H14" s="155">
        <v>4.0</v>
      </c>
      <c r="I14" s="360">
        <f t="shared" si="2"/>
        <v>4.5</v>
      </c>
      <c r="J14" s="156">
        <v>5.0</v>
      </c>
      <c r="K14" s="361">
        <v>4.0</v>
      </c>
      <c r="L14" s="62">
        <v>4.0</v>
      </c>
      <c r="M14" s="62">
        <v>4.0</v>
      </c>
      <c r="N14" s="362">
        <f t="shared" si="3"/>
        <v>4</v>
      </c>
      <c r="O14" s="156">
        <v>5.0</v>
      </c>
      <c r="P14" s="245">
        <v>4.0</v>
      </c>
      <c r="Q14" s="245">
        <v>5.0</v>
      </c>
      <c r="R14" s="155">
        <v>5.0</v>
      </c>
      <c r="S14" s="156">
        <v>5.0</v>
      </c>
      <c r="T14" s="363">
        <f t="shared" si="4"/>
        <v>5</v>
      </c>
      <c r="U14" s="245">
        <v>4.0</v>
      </c>
      <c r="V14" s="245">
        <v>5.0</v>
      </c>
      <c r="W14" s="156">
        <v>5.0</v>
      </c>
      <c r="X14" s="158">
        <f t="shared" si="5"/>
        <v>4.666666667</v>
      </c>
      <c r="Y14" s="245">
        <v>4.0</v>
      </c>
      <c r="Z14" s="245">
        <v>5.0</v>
      </c>
      <c r="AA14" s="62">
        <v>4.0</v>
      </c>
      <c r="AB14" s="246">
        <f t="shared" si="6"/>
        <v>4.416666667</v>
      </c>
      <c r="AC14" s="245">
        <v>4.0</v>
      </c>
      <c r="AD14" s="245">
        <v>5.0</v>
      </c>
      <c r="AE14" s="245">
        <v>5.0</v>
      </c>
      <c r="AF14" s="245">
        <v>5.0</v>
      </c>
      <c r="AG14" s="248">
        <f t="shared" si="7"/>
        <v>5</v>
      </c>
      <c r="AH14" s="245">
        <v>5.0</v>
      </c>
      <c r="AI14" s="245">
        <v>5.0</v>
      </c>
      <c r="AJ14" s="213">
        <v>5.0</v>
      </c>
      <c r="AK14" s="63">
        <v>5.0</v>
      </c>
      <c r="AL14" s="160">
        <f t="shared" si="8"/>
        <v>5</v>
      </c>
      <c r="AM14" s="364">
        <f t="shared" si="9"/>
        <v>4.5</v>
      </c>
    </row>
    <row r="15" ht="15.75" customHeight="1">
      <c r="A15" s="74">
        <v>8.0</v>
      </c>
      <c r="B15" s="118" t="s">
        <v>345</v>
      </c>
      <c r="C15" s="65" t="s">
        <v>45</v>
      </c>
      <c r="D15" s="155">
        <v>5.0</v>
      </c>
      <c r="E15" s="155">
        <v>4.0</v>
      </c>
      <c r="F15" s="359">
        <f t="shared" si="1"/>
        <v>4.5</v>
      </c>
      <c r="G15" s="155">
        <v>5.0</v>
      </c>
      <c r="H15" s="155">
        <v>4.0</v>
      </c>
      <c r="I15" s="360">
        <f t="shared" si="2"/>
        <v>4.5</v>
      </c>
      <c r="J15" s="156">
        <v>5.0</v>
      </c>
      <c r="K15" s="361">
        <v>4.0</v>
      </c>
      <c r="L15" s="62">
        <v>4.0</v>
      </c>
      <c r="M15" s="62">
        <v>4.0</v>
      </c>
      <c r="N15" s="362">
        <f t="shared" si="3"/>
        <v>4</v>
      </c>
      <c r="O15" s="156">
        <v>5.0</v>
      </c>
      <c r="P15" s="245">
        <v>4.0</v>
      </c>
      <c r="Q15" s="245">
        <v>5.0</v>
      </c>
      <c r="R15" s="155">
        <v>5.0</v>
      </c>
      <c r="S15" s="156">
        <v>5.0</v>
      </c>
      <c r="T15" s="363">
        <f t="shared" si="4"/>
        <v>5</v>
      </c>
      <c r="U15" s="245">
        <v>4.0</v>
      </c>
      <c r="V15" s="245">
        <v>5.0</v>
      </c>
      <c r="W15" s="156">
        <v>5.0</v>
      </c>
      <c r="X15" s="158">
        <f t="shared" si="5"/>
        <v>4.666666667</v>
      </c>
      <c r="Y15" s="245">
        <v>4.0</v>
      </c>
      <c r="Z15" s="245">
        <v>5.0</v>
      </c>
      <c r="AA15" s="62">
        <v>4.0</v>
      </c>
      <c r="AB15" s="246">
        <f t="shared" si="6"/>
        <v>4.416666667</v>
      </c>
      <c r="AC15" s="245">
        <v>4.0</v>
      </c>
      <c r="AD15" s="245">
        <v>5.0</v>
      </c>
      <c r="AE15" s="245">
        <v>5.0</v>
      </c>
      <c r="AF15" s="245">
        <v>5.0</v>
      </c>
      <c r="AG15" s="248">
        <f t="shared" si="7"/>
        <v>5</v>
      </c>
      <c r="AH15" s="245">
        <v>5.0</v>
      </c>
      <c r="AI15" s="245">
        <v>5.0</v>
      </c>
      <c r="AJ15" s="213">
        <v>5.0</v>
      </c>
      <c r="AK15" s="63">
        <v>5.0</v>
      </c>
      <c r="AL15" s="160">
        <f t="shared" si="8"/>
        <v>5</v>
      </c>
      <c r="AM15" s="364">
        <f t="shared" si="9"/>
        <v>4.5</v>
      </c>
    </row>
    <row r="16" ht="15.75" customHeight="1">
      <c r="A16" s="74">
        <v>9.0</v>
      </c>
      <c r="B16" s="118" t="s">
        <v>346</v>
      </c>
      <c r="C16" s="65" t="s">
        <v>44</v>
      </c>
      <c r="D16" s="62">
        <v>4.0</v>
      </c>
      <c r="E16" s="62">
        <v>4.0</v>
      </c>
      <c r="F16" s="305">
        <f t="shared" si="1"/>
        <v>4</v>
      </c>
      <c r="G16" s="62">
        <v>3.0</v>
      </c>
      <c r="H16" s="62">
        <v>3.0</v>
      </c>
      <c r="I16" s="85">
        <f t="shared" si="2"/>
        <v>3</v>
      </c>
      <c r="J16" s="62">
        <v>4.0</v>
      </c>
      <c r="K16" s="361">
        <v>4.0</v>
      </c>
      <c r="L16" s="62">
        <v>4.0</v>
      </c>
      <c r="M16" s="62">
        <v>4.0</v>
      </c>
      <c r="N16" s="365">
        <f t="shared" si="3"/>
        <v>4</v>
      </c>
      <c r="O16" s="63">
        <v>4.0</v>
      </c>
      <c r="P16" s="250">
        <v>4.0</v>
      </c>
      <c r="Q16" s="250">
        <v>4.0</v>
      </c>
      <c r="R16" s="62">
        <v>4.0</v>
      </c>
      <c r="S16" s="62">
        <v>4.0</v>
      </c>
      <c r="T16" s="366">
        <f t="shared" si="4"/>
        <v>4</v>
      </c>
      <c r="U16" s="250">
        <v>4.0</v>
      </c>
      <c r="V16" s="250">
        <v>4.0</v>
      </c>
      <c r="W16" s="63">
        <v>4.0</v>
      </c>
      <c r="X16" s="68">
        <f t="shared" si="5"/>
        <v>4</v>
      </c>
      <c r="Y16" s="250">
        <v>4.0</v>
      </c>
      <c r="Z16" s="250">
        <v>4.0</v>
      </c>
      <c r="AA16" s="62">
        <v>4.0</v>
      </c>
      <c r="AB16" s="212">
        <f t="shared" si="6"/>
        <v>4</v>
      </c>
      <c r="AC16" s="250">
        <v>4.0</v>
      </c>
      <c r="AD16" s="250">
        <v>4.0</v>
      </c>
      <c r="AE16" s="250">
        <v>3.0</v>
      </c>
      <c r="AF16" s="250">
        <v>3.0</v>
      </c>
      <c r="AG16" s="67">
        <f t="shared" si="7"/>
        <v>3.333333333</v>
      </c>
      <c r="AH16" s="250">
        <v>4.0</v>
      </c>
      <c r="AI16" s="250">
        <v>4.0</v>
      </c>
      <c r="AJ16" s="213">
        <v>3.0</v>
      </c>
      <c r="AK16" s="63">
        <v>3.0</v>
      </c>
      <c r="AL16" s="70">
        <f t="shared" si="8"/>
        <v>3.333333333</v>
      </c>
      <c r="AM16" s="364">
        <f t="shared" si="9"/>
        <v>3.933333333</v>
      </c>
    </row>
    <row r="17" ht="15.75" customHeight="1">
      <c r="A17" s="74">
        <v>10.0</v>
      </c>
      <c r="B17" s="118" t="s">
        <v>347</v>
      </c>
      <c r="C17" s="65" t="s">
        <v>45</v>
      </c>
      <c r="D17" s="62">
        <v>3.0</v>
      </c>
      <c r="E17" s="62">
        <v>3.0</v>
      </c>
      <c r="F17" s="305">
        <f t="shared" si="1"/>
        <v>3</v>
      </c>
      <c r="G17" s="62">
        <v>3.0</v>
      </c>
      <c r="H17" s="62">
        <v>3.0</v>
      </c>
      <c r="I17" s="85">
        <f t="shared" si="2"/>
        <v>3</v>
      </c>
      <c r="J17" s="62">
        <v>3.0</v>
      </c>
      <c r="K17" s="361">
        <v>3.0</v>
      </c>
      <c r="L17" s="62">
        <v>3.0</v>
      </c>
      <c r="M17" s="62">
        <v>3.0</v>
      </c>
      <c r="N17" s="365">
        <f t="shared" si="3"/>
        <v>3</v>
      </c>
      <c r="O17" s="63">
        <v>3.0</v>
      </c>
      <c r="P17" s="250">
        <v>4.0</v>
      </c>
      <c r="Q17" s="250">
        <v>4.0</v>
      </c>
      <c r="R17" s="62">
        <v>3.0</v>
      </c>
      <c r="S17" s="62">
        <v>3.0</v>
      </c>
      <c r="T17" s="366">
        <f t="shared" si="4"/>
        <v>3.333333333</v>
      </c>
      <c r="U17" s="250">
        <v>4.0</v>
      </c>
      <c r="V17" s="250">
        <v>4.0</v>
      </c>
      <c r="W17" s="63">
        <v>4.0</v>
      </c>
      <c r="X17" s="68">
        <f t="shared" si="5"/>
        <v>4</v>
      </c>
      <c r="Y17" s="250">
        <v>4.0</v>
      </c>
      <c r="Z17" s="250">
        <v>4.0</v>
      </c>
      <c r="AA17" s="62">
        <v>3.0</v>
      </c>
      <c r="AB17" s="212">
        <f t="shared" si="6"/>
        <v>3.75</v>
      </c>
      <c r="AC17" s="250">
        <v>4.0</v>
      </c>
      <c r="AD17" s="250">
        <v>4.0</v>
      </c>
      <c r="AE17" s="250">
        <v>3.0</v>
      </c>
      <c r="AF17" s="250">
        <v>3.0</v>
      </c>
      <c r="AG17" s="67">
        <f t="shared" si="7"/>
        <v>3.333333333</v>
      </c>
      <c r="AH17" s="250">
        <v>3.0</v>
      </c>
      <c r="AI17" s="250">
        <v>3.0</v>
      </c>
      <c r="AJ17" s="213">
        <v>3.0</v>
      </c>
      <c r="AK17" s="63">
        <v>3.0</v>
      </c>
      <c r="AL17" s="70">
        <f t="shared" si="8"/>
        <v>3</v>
      </c>
      <c r="AM17" s="364">
        <f t="shared" si="9"/>
        <v>3.5</v>
      </c>
    </row>
    <row r="18" ht="15.75" customHeight="1">
      <c r="A18" s="74">
        <v>11.0</v>
      </c>
      <c r="B18" s="118" t="s">
        <v>348</v>
      </c>
      <c r="C18" s="65" t="s">
        <v>44</v>
      </c>
      <c r="D18" s="62">
        <v>6.0</v>
      </c>
      <c r="E18" s="62">
        <v>5.0</v>
      </c>
      <c r="F18" s="305">
        <f t="shared" si="1"/>
        <v>5.5</v>
      </c>
      <c r="G18" s="62">
        <v>6.0</v>
      </c>
      <c r="H18" s="62">
        <v>6.0</v>
      </c>
      <c r="I18" s="85">
        <f t="shared" si="2"/>
        <v>6</v>
      </c>
      <c r="J18" s="62">
        <v>6.0</v>
      </c>
      <c r="K18" s="361">
        <v>6.0</v>
      </c>
      <c r="L18" s="62">
        <v>6.0</v>
      </c>
      <c r="M18" s="62">
        <v>6.0</v>
      </c>
      <c r="N18" s="365">
        <f t="shared" si="3"/>
        <v>6</v>
      </c>
      <c r="O18" s="63">
        <v>6.0</v>
      </c>
      <c r="P18" s="250">
        <v>6.0</v>
      </c>
      <c r="Q18" s="250">
        <v>6.0</v>
      </c>
      <c r="R18" s="62">
        <v>6.0</v>
      </c>
      <c r="S18" s="62">
        <v>6.0</v>
      </c>
      <c r="T18" s="366">
        <f t="shared" si="4"/>
        <v>6</v>
      </c>
      <c r="U18" s="250">
        <v>6.0</v>
      </c>
      <c r="V18" s="250">
        <v>6.0</v>
      </c>
      <c r="W18" s="63">
        <v>6.0</v>
      </c>
      <c r="X18" s="68">
        <f t="shared" si="5"/>
        <v>6</v>
      </c>
      <c r="Y18" s="250">
        <v>6.0</v>
      </c>
      <c r="Z18" s="250">
        <v>6.0</v>
      </c>
      <c r="AA18" s="62">
        <v>6.0</v>
      </c>
      <c r="AB18" s="212">
        <f t="shared" si="6"/>
        <v>6</v>
      </c>
      <c r="AC18" s="250">
        <v>6.0</v>
      </c>
      <c r="AD18" s="250">
        <v>6.0</v>
      </c>
      <c r="AE18" s="250">
        <v>6.0</v>
      </c>
      <c r="AF18" s="250">
        <v>6.0</v>
      </c>
      <c r="AG18" s="67">
        <f t="shared" si="7"/>
        <v>6</v>
      </c>
      <c r="AH18" s="250">
        <v>6.0</v>
      </c>
      <c r="AI18" s="250">
        <v>6.0</v>
      </c>
      <c r="AJ18" s="213">
        <v>6.0</v>
      </c>
      <c r="AK18" s="63">
        <v>6.0</v>
      </c>
      <c r="AL18" s="70">
        <f t="shared" si="8"/>
        <v>6</v>
      </c>
      <c r="AM18" s="364">
        <f t="shared" si="9"/>
        <v>6</v>
      </c>
    </row>
    <row r="19" ht="15.75" customHeight="1">
      <c r="A19" s="74">
        <v>12.0</v>
      </c>
      <c r="B19" s="118" t="s">
        <v>349</v>
      </c>
      <c r="C19" s="65" t="s">
        <v>44</v>
      </c>
      <c r="D19" s="62">
        <v>3.0</v>
      </c>
      <c r="E19" s="62">
        <v>3.0</v>
      </c>
      <c r="F19" s="305">
        <f t="shared" si="1"/>
        <v>3</v>
      </c>
      <c r="G19" s="62">
        <v>3.0</v>
      </c>
      <c r="H19" s="62">
        <v>3.0</v>
      </c>
      <c r="I19" s="85">
        <f t="shared" si="2"/>
        <v>3</v>
      </c>
      <c r="J19" s="62">
        <v>3.0</v>
      </c>
      <c r="K19" s="361">
        <v>3.0</v>
      </c>
      <c r="L19" s="62">
        <v>3.0</v>
      </c>
      <c r="M19" s="62">
        <v>3.0</v>
      </c>
      <c r="N19" s="365">
        <f t="shared" si="3"/>
        <v>3</v>
      </c>
      <c r="O19" s="63">
        <v>3.0</v>
      </c>
      <c r="P19" s="250">
        <v>4.0</v>
      </c>
      <c r="Q19" s="250">
        <v>4.0</v>
      </c>
      <c r="R19" s="62">
        <v>3.0</v>
      </c>
      <c r="S19" s="62">
        <v>3.0</v>
      </c>
      <c r="T19" s="366">
        <f t="shared" si="4"/>
        <v>3.333333333</v>
      </c>
      <c r="U19" s="250">
        <v>4.0</v>
      </c>
      <c r="V19" s="250">
        <v>4.0</v>
      </c>
      <c r="W19" s="63">
        <v>3.0</v>
      </c>
      <c r="X19" s="68">
        <f t="shared" si="5"/>
        <v>3.666666667</v>
      </c>
      <c r="Y19" s="250">
        <v>4.0</v>
      </c>
      <c r="Z19" s="250">
        <v>4.0</v>
      </c>
      <c r="AA19" s="62">
        <v>3.0</v>
      </c>
      <c r="AB19" s="212">
        <f t="shared" si="6"/>
        <v>3.666666667</v>
      </c>
      <c r="AC19" s="250">
        <v>4.0</v>
      </c>
      <c r="AD19" s="250">
        <v>4.0</v>
      </c>
      <c r="AE19" s="250">
        <v>3.0</v>
      </c>
      <c r="AF19" s="250">
        <v>3.0</v>
      </c>
      <c r="AG19" s="67">
        <f t="shared" si="7"/>
        <v>3.333333333</v>
      </c>
      <c r="AH19" s="250">
        <v>3.0</v>
      </c>
      <c r="AI19" s="250">
        <v>3.0</v>
      </c>
      <c r="AJ19" s="213">
        <v>3.0</v>
      </c>
      <c r="AK19" s="63">
        <v>3.0</v>
      </c>
      <c r="AL19" s="70">
        <f t="shared" si="8"/>
        <v>3</v>
      </c>
      <c r="AM19" s="364">
        <f t="shared" si="9"/>
        <v>3.5</v>
      </c>
    </row>
    <row r="20" ht="15.75" customHeight="1">
      <c r="A20" s="74">
        <v>13.0</v>
      </c>
      <c r="B20" s="118" t="s">
        <v>350</v>
      </c>
      <c r="C20" s="65" t="s">
        <v>45</v>
      </c>
      <c r="D20" s="155">
        <v>5.0</v>
      </c>
      <c r="E20" s="155">
        <v>4.0</v>
      </c>
      <c r="F20" s="359">
        <f t="shared" si="1"/>
        <v>4.5</v>
      </c>
      <c r="G20" s="155">
        <v>5.0</v>
      </c>
      <c r="H20" s="155">
        <v>4.0</v>
      </c>
      <c r="I20" s="360">
        <f t="shared" si="2"/>
        <v>4.5</v>
      </c>
      <c r="J20" s="156">
        <v>5.0</v>
      </c>
      <c r="K20" s="361">
        <v>4.0</v>
      </c>
      <c r="L20" s="62">
        <v>4.0</v>
      </c>
      <c r="M20" s="62">
        <v>4.0</v>
      </c>
      <c r="N20" s="362">
        <f t="shared" si="3"/>
        <v>4</v>
      </c>
      <c r="O20" s="156">
        <v>5.0</v>
      </c>
      <c r="P20" s="245">
        <v>4.0</v>
      </c>
      <c r="Q20" s="245">
        <v>5.0</v>
      </c>
      <c r="R20" s="155">
        <v>5.0</v>
      </c>
      <c r="S20" s="156">
        <v>5.0</v>
      </c>
      <c r="T20" s="363">
        <f t="shared" si="4"/>
        <v>5</v>
      </c>
      <c r="U20" s="245">
        <v>4.0</v>
      </c>
      <c r="V20" s="245">
        <v>5.0</v>
      </c>
      <c r="W20" s="156">
        <v>5.0</v>
      </c>
      <c r="X20" s="158">
        <f t="shared" si="5"/>
        <v>4.666666667</v>
      </c>
      <c r="Y20" s="245">
        <v>4.0</v>
      </c>
      <c r="Z20" s="245">
        <v>5.0</v>
      </c>
      <c r="AA20" s="62">
        <v>4.0</v>
      </c>
      <c r="AB20" s="246">
        <f t="shared" si="6"/>
        <v>4.416666667</v>
      </c>
      <c r="AC20" s="245">
        <v>4.0</v>
      </c>
      <c r="AD20" s="245">
        <v>5.0</v>
      </c>
      <c r="AE20" s="245">
        <v>5.0</v>
      </c>
      <c r="AF20" s="245">
        <v>5.0</v>
      </c>
      <c r="AG20" s="248">
        <f t="shared" si="7"/>
        <v>5</v>
      </c>
      <c r="AH20" s="245">
        <v>5.0</v>
      </c>
      <c r="AI20" s="245">
        <v>5.0</v>
      </c>
      <c r="AJ20" s="213">
        <v>5.0</v>
      </c>
      <c r="AK20" s="63">
        <v>5.0</v>
      </c>
      <c r="AL20" s="160">
        <f t="shared" si="8"/>
        <v>5</v>
      </c>
      <c r="AM20" s="364">
        <f t="shared" si="9"/>
        <v>4.5</v>
      </c>
    </row>
    <row r="21" ht="15.75" customHeight="1">
      <c r="A21" s="74">
        <v>14.0</v>
      </c>
      <c r="B21" s="118" t="s">
        <v>351</v>
      </c>
      <c r="C21" s="65" t="s">
        <v>44</v>
      </c>
      <c r="D21" s="62">
        <v>6.0</v>
      </c>
      <c r="E21" s="62">
        <v>5.0</v>
      </c>
      <c r="F21" s="305">
        <f t="shared" si="1"/>
        <v>5.5</v>
      </c>
      <c r="G21" s="62">
        <v>6.0</v>
      </c>
      <c r="H21" s="62">
        <v>6.0</v>
      </c>
      <c r="I21" s="85">
        <f t="shared" si="2"/>
        <v>6</v>
      </c>
      <c r="J21" s="62">
        <v>6.0</v>
      </c>
      <c r="K21" s="361">
        <v>6.0</v>
      </c>
      <c r="L21" s="62">
        <v>6.0</v>
      </c>
      <c r="M21" s="62">
        <v>6.0</v>
      </c>
      <c r="N21" s="365">
        <f t="shared" si="3"/>
        <v>6</v>
      </c>
      <c r="O21" s="63">
        <v>6.0</v>
      </c>
      <c r="P21" s="250">
        <v>6.0</v>
      </c>
      <c r="Q21" s="250">
        <v>6.0</v>
      </c>
      <c r="R21" s="62">
        <v>6.0</v>
      </c>
      <c r="S21" s="62">
        <v>6.0</v>
      </c>
      <c r="T21" s="366">
        <f t="shared" si="4"/>
        <v>6</v>
      </c>
      <c r="U21" s="250">
        <v>6.0</v>
      </c>
      <c r="V21" s="250">
        <v>6.0</v>
      </c>
      <c r="W21" s="63">
        <v>6.0</v>
      </c>
      <c r="X21" s="68">
        <f t="shared" si="5"/>
        <v>6</v>
      </c>
      <c r="Y21" s="250">
        <v>6.0</v>
      </c>
      <c r="Z21" s="250">
        <v>6.0</v>
      </c>
      <c r="AA21" s="62">
        <v>6.0</v>
      </c>
      <c r="AB21" s="212">
        <f t="shared" si="6"/>
        <v>6</v>
      </c>
      <c r="AC21" s="250">
        <v>6.0</v>
      </c>
      <c r="AD21" s="250">
        <v>6.0</v>
      </c>
      <c r="AE21" s="250">
        <v>6.0</v>
      </c>
      <c r="AF21" s="250">
        <v>6.0</v>
      </c>
      <c r="AG21" s="67">
        <f t="shared" si="7"/>
        <v>6</v>
      </c>
      <c r="AH21" s="250">
        <v>6.0</v>
      </c>
      <c r="AI21" s="250">
        <v>6.0</v>
      </c>
      <c r="AJ21" s="213">
        <v>6.0</v>
      </c>
      <c r="AK21" s="63">
        <v>6.0</v>
      </c>
      <c r="AL21" s="70">
        <f t="shared" si="8"/>
        <v>6</v>
      </c>
      <c r="AM21" s="364">
        <f t="shared" si="9"/>
        <v>6</v>
      </c>
    </row>
    <row r="22" ht="15.75" customHeight="1">
      <c r="A22" s="74">
        <v>15.0</v>
      </c>
      <c r="B22" s="118" t="s">
        <v>352</v>
      </c>
      <c r="C22" s="65" t="s">
        <v>44</v>
      </c>
      <c r="D22" s="62">
        <v>3.0</v>
      </c>
      <c r="E22" s="62">
        <v>3.0</v>
      </c>
      <c r="F22" s="305">
        <f t="shared" si="1"/>
        <v>3</v>
      </c>
      <c r="G22" s="62">
        <v>3.0</v>
      </c>
      <c r="H22" s="62">
        <v>3.0</v>
      </c>
      <c r="I22" s="85">
        <f t="shared" si="2"/>
        <v>3</v>
      </c>
      <c r="J22" s="62">
        <v>3.0</v>
      </c>
      <c r="K22" s="361">
        <v>3.0</v>
      </c>
      <c r="L22" s="62">
        <v>3.0</v>
      </c>
      <c r="M22" s="62">
        <v>3.0</v>
      </c>
      <c r="N22" s="365">
        <f t="shared" si="3"/>
        <v>3</v>
      </c>
      <c r="O22" s="63">
        <v>3.0</v>
      </c>
      <c r="P22" s="250">
        <v>3.0</v>
      </c>
      <c r="Q22" s="250">
        <v>3.0</v>
      </c>
      <c r="R22" s="62">
        <v>3.0</v>
      </c>
      <c r="S22" s="62">
        <v>3.0</v>
      </c>
      <c r="T22" s="366">
        <f t="shared" si="4"/>
        <v>3</v>
      </c>
      <c r="U22" s="250">
        <v>3.0</v>
      </c>
      <c r="V22" s="250">
        <v>3.0</v>
      </c>
      <c r="W22" s="63">
        <v>3.0</v>
      </c>
      <c r="X22" s="68">
        <f t="shared" si="5"/>
        <v>3</v>
      </c>
      <c r="Y22" s="250">
        <v>4.0</v>
      </c>
      <c r="Z22" s="250">
        <v>4.0</v>
      </c>
      <c r="AA22" s="62">
        <v>3.0</v>
      </c>
      <c r="AB22" s="212">
        <f t="shared" si="6"/>
        <v>3.5</v>
      </c>
      <c r="AC22" s="250">
        <v>4.0</v>
      </c>
      <c r="AD22" s="250">
        <v>4.0</v>
      </c>
      <c r="AE22" s="250">
        <v>3.0</v>
      </c>
      <c r="AF22" s="250">
        <v>3.0</v>
      </c>
      <c r="AG22" s="67">
        <f t="shared" si="7"/>
        <v>3.333333333</v>
      </c>
      <c r="AH22" s="250">
        <v>3.0</v>
      </c>
      <c r="AI22" s="250">
        <v>3.0</v>
      </c>
      <c r="AJ22" s="213">
        <v>3.0</v>
      </c>
      <c r="AK22" s="63">
        <v>3.0</v>
      </c>
      <c r="AL22" s="70">
        <f t="shared" si="8"/>
        <v>3</v>
      </c>
      <c r="AM22" s="364">
        <f t="shared" si="9"/>
        <v>3.2</v>
      </c>
    </row>
    <row r="23" ht="15.75" customHeight="1">
      <c r="A23" s="74">
        <v>16.0</v>
      </c>
      <c r="B23" s="118" t="s">
        <v>353</v>
      </c>
      <c r="C23" s="65" t="s">
        <v>44</v>
      </c>
      <c r="D23" s="62">
        <v>5.0</v>
      </c>
      <c r="E23" s="62">
        <v>5.0</v>
      </c>
      <c r="F23" s="305">
        <f t="shared" si="1"/>
        <v>5</v>
      </c>
      <c r="G23" s="62">
        <v>5.0</v>
      </c>
      <c r="H23" s="62">
        <v>4.0</v>
      </c>
      <c r="I23" s="85">
        <f t="shared" si="2"/>
        <v>4.5</v>
      </c>
      <c r="J23" s="62">
        <v>4.0</v>
      </c>
      <c r="K23" s="361">
        <v>3.0</v>
      </c>
      <c r="L23" s="62">
        <v>3.0</v>
      </c>
      <c r="M23" s="62">
        <v>3.0</v>
      </c>
      <c r="N23" s="365">
        <f t="shared" si="3"/>
        <v>3</v>
      </c>
      <c r="O23" s="63">
        <v>5.0</v>
      </c>
      <c r="P23" s="250">
        <v>5.0</v>
      </c>
      <c r="Q23" s="250">
        <v>5.0</v>
      </c>
      <c r="R23" s="62">
        <v>4.0</v>
      </c>
      <c r="S23" s="62">
        <v>4.0</v>
      </c>
      <c r="T23" s="366">
        <f t="shared" si="4"/>
        <v>4.333333333</v>
      </c>
      <c r="U23" s="250">
        <v>5.0</v>
      </c>
      <c r="V23" s="250">
        <v>5.0</v>
      </c>
      <c r="W23" s="63">
        <v>4.0</v>
      </c>
      <c r="X23" s="68">
        <f t="shared" si="5"/>
        <v>4.666666667</v>
      </c>
      <c r="Y23" s="250">
        <v>5.0</v>
      </c>
      <c r="Z23" s="250">
        <v>5.0</v>
      </c>
      <c r="AA23" s="62">
        <v>5.0</v>
      </c>
      <c r="AB23" s="212">
        <f t="shared" si="6"/>
        <v>4.916666667</v>
      </c>
      <c r="AC23" s="250">
        <v>5.0</v>
      </c>
      <c r="AD23" s="250">
        <v>5.0</v>
      </c>
      <c r="AE23" s="250">
        <v>5.0</v>
      </c>
      <c r="AF23" s="250">
        <v>5.0</v>
      </c>
      <c r="AG23" s="67">
        <f t="shared" si="7"/>
        <v>5</v>
      </c>
      <c r="AH23" s="250">
        <v>4.0</v>
      </c>
      <c r="AI23" s="250">
        <v>4.0</v>
      </c>
      <c r="AJ23" s="213">
        <v>4.0</v>
      </c>
      <c r="AK23" s="63">
        <v>4.0</v>
      </c>
      <c r="AL23" s="70">
        <f t="shared" si="8"/>
        <v>4</v>
      </c>
      <c r="AM23" s="364">
        <f t="shared" si="9"/>
        <v>4.5</v>
      </c>
    </row>
    <row r="24" ht="15.75" customHeight="1">
      <c r="A24" s="74">
        <v>17.0</v>
      </c>
      <c r="B24" s="118" t="s">
        <v>354</v>
      </c>
      <c r="C24" s="65" t="s">
        <v>44</v>
      </c>
      <c r="D24" s="62">
        <v>4.0</v>
      </c>
      <c r="E24" s="62">
        <v>4.0</v>
      </c>
      <c r="F24" s="305">
        <f t="shared" si="1"/>
        <v>4</v>
      </c>
      <c r="G24" s="62">
        <v>3.0</v>
      </c>
      <c r="H24" s="62">
        <v>3.0</v>
      </c>
      <c r="I24" s="85">
        <f t="shared" si="2"/>
        <v>3</v>
      </c>
      <c r="J24" s="62">
        <v>4.0</v>
      </c>
      <c r="K24" s="361">
        <v>4.0</v>
      </c>
      <c r="L24" s="62">
        <v>4.0</v>
      </c>
      <c r="M24" s="62">
        <v>4.0</v>
      </c>
      <c r="N24" s="365">
        <f t="shared" si="3"/>
        <v>4</v>
      </c>
      <c r="O24" s="63">
        <v>4.0</v>
      </c>
      <c r="P24" s="250">
        <v>4.0</v>
      </c>
      <c r="Q24" s="250">
        <v>4.0</v>
      </c>
      <c r="R24" s="62">
        <v>4.0</v>
      </c>
      <c r="S24" s="62">
        <v>4.0</v>
      </c>
      <c r="T24" s="366">
        <f t="shared" si="4"/>
        <v>4</v>
      </c>
      <c r="U24" s="250">
        <v>4.0</v>
      </c>
      <c r="V24" s="250">
        <v>4.0</v>
      </c>
      <c r="W24" s="63">
        <v>4.0</v>
      </c>
      <c r="X24" s="68">
        <f t="shared" si="5"/>
        <v>4</v>
      </c>
      <c r="Y24" s="250">
        <v>4.0</v>
      </c>
      <c r="Z24" s="250">
        <v>4.0</v>
      </c>
      <c r="AA24" s="62">
        <v>4.0</v>
      </c>
      <c r="AB24" s="212">
        <f t="shared" si="6"/>
        <v>4</v>
      </c>
      <c r="AC24" s="250">
        <v>4.0</v>
      </c>
      <c r="AD24" s="250">
        <v>4.0</v>
      </c>
      <c r="AE24" s="250">
        <v>3.0</v>
      </c>
      <c r="AF24" s="250">
        <v>3.0</v>
      </c>
      <c r="AG24" s="67">
        <f t="shared" si="7"/>
        <v>3.333333333</v>
      </c>
      <c r="AH24" s="250">
        <v>4.0</v>
      </c>
      <c r="AI24" s="250">
        <v>4.0</v>
      </c>
      <c r="AJ24" s="213">
        <v>3.0</v>
      </c>
      <c r="AK24" s="63">
        <v>3.0</v>
      </c>
      <c r="AL24" s="70">
        <f t="shared" si="8"/>
        <v>3.333333333</v>
      </c>
      <c r="AM24" s="364">
        <f t="shared" si="9"/>
        <v>3.933333333</v>
      </c>
    </row>
    <row r="25" ht="15.75" customHeight="1">
      <c r="A25" s="74">
        <v>18.0</v>
      </c>
      <c r="B25" s="118" t="s">
        <v>355</v>
      </c>
      <c r="C25" s="65" t="s">
        <v>44</v>
      </c>
      <c r="D25" s="62">
        <v>4.0</v>
      </c>
      <c r="E25" s="62">
        <v>4.0</v>
      </c>
      <c r="F25" s="305">
        <f t="shared" si="1"/>
        <v>4</v>
      </c>
      <c r="G25" s="62">
        <v>3.0</v>
      </c>
      <c r="H25" s="62">
        <v>3.0</v>
      </c>
      <c r="I25" s="85">
        <f t="shared" si="2"/>
        <v>3</v>
      </c>
      <c r="J25" s="62">
        <v>4.0</v>
      </c>
      <c r="K25" s="361">
        <v>4.0</v>
      </c>
      <c r="L25" s="62">
        <v>4.0</v>
      </c>
      <c r="M25" s="62">
        <v>4.0</v>
      </c>
      <c r="N25" s="365">
        <f t="shared" si="3"/>
        <v>4</v>
      </c>
      <c r="O25" s="63">
        <v>4.0</v>
      </c>
      <c r="P25" s="250">
        <v>4.0</v>
      </c>
      <c r="Q25" s="250">
        <v>4.0</v>
      </c>
      <c r="R25" s="62">
        <v>4.0</v>
      </c>
      <c r="S25" s="62">
        <v>4.0</v>
      </c>
      <c r="T25" s="366">
        <f t="shared" si="4"/>
        <v>4</v>
      </c>
      <c r="U25" s="250">
        <v>4.0</v>
      </c>
      <c r="V25" s="250">
        <v>4.0</v>
      </c>
      <c r="W25" s="63">
        <v>4.0</v>
      </c>
      <c r="X25" s="68">
        <f t="shared" si="5"/>
        <v>4</v>
      </c>
      <c r="Y25" s="250">
        <v>4.0</v>
      </c>
      <c r="Z25" s="250">
        <v>4.0</v>
      </c>
      <c r="AA25" s="62">
        <v>4.0</v>
      </c>
      <c r="AB25" s="212">
        <f t="shared" si="6"/>
        <v>4</v>
      </c>
      <c r="AC25" s="250">
        <v>4.0</v>
      </c>
      <c r="AD25" s="250">
        <v>4.0</v>
      </c>
      <c r="AE25" s="250">
        <v>3.0</v>
      </c>
      <c r="AF25" s="250">
        <v>3.0</v>
      </c>
      <c r="AG25" s="67">
        <f t="shared" si="7"/>
        <v>3.333333333</v>
      </c>
      <c r="AH25" s="250">
        <v>4.0</v>
      </c>
      <c r="AI25" s="250">
        <v>4.0</v>
      </c>
      <c r="AJ25" s="213">
        <v>3.0</v>
      </c>
      <c r="AK25" s="63">
        <v>3.0</v>
      </c>
      <c r="AL25" s="70">
        <f t="shared" si="8"/>
        <v>3.333333333</v>
      </c>
      <c r="AM25" s="364">
        <f t="shared" si="9"/>
        <v>3.933333333</v>
      </c>
    </row>
    <row r="26" ht="15.75" customHeight="1">
      <c r="A26" s="74">
        <v>19.0</v>
      </c>
      <c r="B26" s="118" t="s">
        <v>356</v>
      </c>
      <c r="C26" s="65" t="s">
        <v>44</v>
      </c>
      <c r="D26" s="62">
        <v>6.0</v>
      </c>
      <c r="E26" s="62">
        <v>5.0</v>
      </c>
      <c r="F26" s="305">
        <f t="shared" si="1"/>
        <v>5.5</v>
      </c>
      <c r="G26" s="62">
        <v>6.0</v>
      </c>
      <c r="H26" s="62">
        <v>6.0</v>
      </c>
      <c r="I26" s="85">
        <f t="shared" si="2"/>
        <v>6</v>
      </c>
      <c r="J26" s="62">
        <v>6.0</v>
      </c>
      <c r="K26" s="361">
        <v>6.0</v>
      </c>
      <c r="L26" s="62">
        <v>6.0</v>
      </c>
      <c r="M26" s="62">
        <v>6.0</v>
      </c>
      <c r="N26" s="365">
        <f t="shared" si="3"/>
        <v>6</v>
      </c>
      <c r="O26" s="63">
        <v>6.0</v>
      </c>
      <c r="P26" s="250">
        <v>6.0</v>
      </c>
      <c r="Q26" s="250">
        <v>6.0</v>
      </c>
      <c r="R26" s="62">
        <v>6.0</v>
      </c>
      <c r="S26" s="62">
        <v>6.0</v>
      </c>
      <c r="T26" s="366">
        <f t="shared" si="4"/>
        <v>6</v>
      </c>
      <c r="U26" s="250">
        <v>6.0</v>
      </c>
      <c r="V26" s="250">
        <v>6.0</v>
      </c>
      <c r="W26" s="63">
        <v>6.0</v>
      </c>
      <c r="X26" s="68">
        <f t="shared" si="5"/>
        <v>6</v>
      </c>
      <c r="Y26" s="250">
        <v>6.0</v>
      </c>
      <c r="Z26" s="250">
        <v>6.0</v>
      </c>
      <c r="AA26" s="62">
        <v>6.0</v>
      </c>
      <c r="AB26" s="212">
        <f t="shared" si="6"/>
        <v>6</v>
      </c>
      <c r="AC26" s="250">
        <v>6.0</v>
      </c>
      <c r="AD26" s="250">
        <v>6.0</v>
      </c>
      <c r="AE26" s="250">
        <v>6.0</v>
      </c>
      <c r="AF26" s="250">
        <v>6.0</v>
      </c>
      <c r="AG26" s="67">
        <f t="shared" si="7"/>
        <v>6</v>
      </c>
      <c r="AH26" s="250">
        <v>6.0</v>
      </c>
      <c r="AI26" s="250">
        <v>6.0</v>
      </c>
      <c r="AJ26" s="213">
        <v>6.0</v>
      </c>
      <c r="AK26" s="63">
        <v>6.0</v>
      </c>
      <c r="AL26" s="70">
        <f t="shared" si="8"/>
        <v>6</v>
      </c>
      <c r="AM26" s="364">
        <f t="shared" si="9"/>
        <v>6</v>
      </c>
    </row>
    <row r="27" ht="15.75" customHeight="1">
      <c r="A27" s="74">
        <v>20.0</v>
      </c>
      <c r="B27" s="118" t="s">
        <v>357</v>
      </c>
      <c r="C27" s="65" t="s">
        <v>44</v>
      </c>
      <c r="D27" s="62">
        <v>4.0</v>
      </c>
      <c r="E27" s="62">
        <v>4.0</v>
      </c>
      <c r="F27" s="305">
        <f t="shared" si="1"/>
        <v>4</v>
      </c>
      <c r="G27" s="62">
        <v>3.0</v>
      </c>
      <c r="H27" s="62">
        <v>3.0</v>
      </c>
      <c r="I27" s="85">
        <f t="shared" si="2"/>
        <v>3</v>
      </c>
      <c r="J27" s="62">
        <v>4.0</v>
      </c>
      <c r="K27" s="361">
        <v>4.0</v>
      </c>
      <c r="L27" s="62">
        <v>4.0</v>
      </c>
      <c r="M27" s="62">
        <v>4.0</v>
      </c>
      <c r="N27" s="365">
        <f t="shared" si="3"/>
        <v>4</v>
      </c>
      <c r="O27" s="63">
        <v>4.0</v>
      </c>
      <c r="P27" s="250">
        <v>4.0</v>
      </c>
      <c r="Q27" s="250">
        <v>4.0</v>
      </c>
      <c r="R27" s="62">
        <v>4.0</v>
      </c>
      <c r="S27" s="62">
        <v>4.0</v>
      </c>
      <c r="T27" s="366">
        <f t="shared" si="4"/>
        <v>4</v>
      </c>
      <c r="U27" s="250">
        <v>4.0</v>
      </c>
      <c r="V27" s="250">
        <v>4.0</v>
      </c>
      <c r="W27" s="63">
        <v>4.0</v>
      </c>
      <c r="X27" s="68">
        <f t="shared" si="5"/>
        <v>4</v>
      </c>
      <c r="Y27" s="250">
        <v>4.0</v>
      </c>
      <c r="Z27" s="250">
        <v>4.0</v>
      </c>
      <c r="AA27" s="62">
        <v>4.0</v>
      </c>
      <c r="AB27" s="212">
        <f t="shared" si="6"/>
        <v>4</v>
      </c>
      <c r="AC27" s="250">
        <v>4.0</v>
      </c>
      <c r="AD27" s="250">
        <v>4.0</v>
      </c>
      <c r="AE27" s="250">
        <v>3.0</v>
      </c>
      <c r="AF27" s="250">
        <v>3.0</v>
      </c>
      <c r="AG27" s="67">
        <f t="shared" si="7"/>
        <v>3.333333333</v>
      </c>
      <c r="AH27" s="250">
        <v>4.0</v>
      </c>
      <c r="AI27" s="250">
        <v>4.0</v>
      </c>
      <c r="AJ27" s="213">
        <v>3.0</v>
      </c>
      <c r="AK27" s="63">
        <v>3.0</v>
      </c>
      <c r="AL27" s="70">
        <f t="shared" si="8"/>
        <v>3.333333333</v>
      </c>
      <c r="AM27" s="364">
        <f t="shared" si="9"/>
        <v>3.933333333</v>
      </c>
    </row>
    <row r="28" ht="15.75" customHeight="1">
      <c r="A28" s="74">
        <v>21.0</v>
      </c>
      <c r="B28" s="118" t="s">
        <v>358</v>
      </c>
      <c r="C28" s="65" t="s">
        <v>45</v>
      </c>
      <c r="D28" s="62">
        <v>4.0</v>
      </c>
      <c r="E28" s="62">
        <v>4.0</v>
      </c>
      <c r="F28" s="305">
        <f t="shared" si="1"/>
        <v>4</v>
      </c>
      <c r="G28" s="62">
        <v>3.0</v>
      </c>
      <c r="H28" s="62">
        <v>3.0</v>
      </c>
      <c r="I28" s="85">
        <f t="shared" si="2"/>
        <v>3</v>
      </c>
      <c r="J28" s="62">
        <v>4.0</v>
      </c>
      <c r="K28" s="361">
        <v>4.0</v>
      </c>
      <c r="L28" s="62">
        <v>4.0</v>
      </c>
      <c r="M28" s="62">
        <v>4.0</v>
      </c>
      <c r="N28" s="365">
        <f t="shared" si="3"/>
        <v>4</v>
      </c>
      <c r="O28" s="63">
        <v>4.0</v>
      </c>
      <c r="P28" s="250">
        <v>4.0</v>
      </c>
      <c r="Q28" s="250">
        <v>4.0</v>
      </c>
      <c r="R28" s="62">
        <v>4.0</v>
      </c>
      <c r="S28" s="62">
        <v>4.0</v>
      </c>
      <c r="T28" s="366">
        <f t="shared" si="4"/>
        <v>4</v>
      </c>
      <c r="U28" s="250">
        <v>4.0</v>
      </c>
      <c r="V28" s="250">
        <v>4.0</v>
      </c>
      <c r="W28" s="63">
        <v>4.0</v>
      </c>
      <c r="X28" s="68">
        <f t="shared" si="5"/>
        <v>4</v>
      </c>
      <c r="Y28" s="250">
        <v>4.0</v>
      </c>
      <c r="Z28" s="250">
        <v>4.0</v>
      </c>
      <c r="AA28" s="62">
        <v>4.0</v>
      </c>
      <c r="AB28" s="212">
        <f t="shared" si="6"/>
        <v>4</v>
      </c>
      <c r="AC28" s="250">
        <v>4.0</v>
      </c>
      <c r="AD28" s="250">
        <v>4.0</v>
      </c>
      <c r="AE28" s="250">
        <v>3.0</v>
      </c>
      <c r="AF28" s="250">
        <v>3.0</v>
      </c>
      <c r="AG28" s="67">
        <f t="shared" si="7"/>
        <v>3.333333333</v>
      </c>
      <c r="AH28" s="250">
        <v>4.0</v>
      </c>
      <c r="AI28" s="250">
        <v>4.0</v>
      </c>
      <c r="AJ28" s="213">
        <v>3.0</v>
      </c>
      <c r="AK28" s="63">
        <v>3.0</v>
      </c>
      <c r="AL28" s="70">
        <f t="shared" si="8"/>
        <v>3.333333333</v>
      </c>
      <c r="AM28" s="364">
        <f t="shared" si="9"/>
        <v>3.933333333</v>
      </c>
    </row>
    <row r="29" ht="15.75" customHeight="1">
      <c r="A29" s="74">
        <v>22.0</v>
      </c>
      <c r="B29" s="118" t="s">
        <v>359</v>
      </c>
      <c r="C29" s="65" t="s">
        <v>45</v>
      </c>
      <c r="D29" s="155">
        <v>5.0</v>
      </c>
      <c r="E29" s="155">
        <v>4.0</v>
      </c>
      <c r="F29" s="359">
        <f t="shared" si="1"/>
        <v>4.5</v>
      </c>
      <c r="G29" s="155">
        <v>5.0</v>
      </c>
      <c r="H29" s="155">
        <v>4.0</v>
      </c>
      <c r="I29" s="360">
        <f t="shared" si="2"/>
        <v>4.5</v>
      </c>
      <c r="J29" s="156">
        <v>5.0</v>
      </c>
      <c r="K29" s="361">
        <v>4.0</v>
      </c>
      <c r="L29" s="62">
        <v>4.0</v>
      </c>
      <c r="M29" s="62">
        <v>4.0</v>
      </c>
      <c r="N29" s="362">
        <f t="shared" si="3"/>
        <v>4</v>
      </c>
      <c r="O29" s="156">
        <v>5.0</v>
      </c>
      <c r="P29" s="245">
        <v>4.0</v>
      </c>
      <c r="Q29" s="245">
        <v>5.0</v>
      </c>
      <c r="R29" s="155">
        <v>5.0</v>
      </c>
      <c r="S29" s="156">
        <v>5.0</v>
      </c>
      <c r="T29" s="363">
        <f t="shared" si="4"/>
        <v>5</v>
      </c>
      <c r="U29" s="245">
        <v>4.0</v>
      </c>
      <c r="V29" s="245">
        <v>5.0</v>
      </c>
      <c r="W29" s="156">
        <v>5.0</v>
      </c>
      <c r="X29" s="158">
        <f t="shared" si="5"/>
        <v>4.666666667</v>
      </c>
      <c r="Y29" s="245">
        <v>4.0</v>
      </c>
      <c r="Z29" s="245">
        <v>5.0</v>
      </c>
      <c r="AA29" s="62">
        <v>4.0</v>
      </c>
      <c r="AB29" s="246">
        <f t="shared" si="6"/>
        <v>4.416666667</v>
      </c>
      <c r="AC29" s="245">
        <v>4.0</v>
      </c>
      <c r="AD29" s="245">
        <v>5.0</v>
      </c>
      <c r="AE29" s="245">
        <v>5.0</v>
      </c>
      <c r="AF29" s="245">
        <v>5.0</v>
      </c>
      <c r="AG29" s="248">
        <f t="shared" si="7"/>
        <v>5</v>
      </c>
      <c r="AH29" s="245">
        <v>5.0</v>
      </c>
      <c r="AI29" s="245">
        <v>5.0</v>
      </c>
      <c r="AJ29" s="213">
        <v>5.0</v>
      </c>
      <c r="AK29" s="63">
        <v>5.0</v>
      </c>
      <c r="AL29" s="160">
        <f t="shared" si="8"/>
        <v>5</v>
      </c>
      <c r="AM29" s="364">
        <f t="shared" si="9"/>
        <v>4.5</v>
      </c>
    </row>
    <row r="30" ht="15.75" customHeight="1">
      <c r="A30" s="74">
        <v>23.0</v>
      </c>
      <c r="B30" s="118" t="s">
        <v>360</v>
      </c>
      <c r="C30" s="65" t="s">
        <v>45</v>
      </c>
      <c r="D30" s="62">
        <v>4.0</v>
      </c>
      <c r="E30" s="62">
        <v>4.0</v>
      </c>
      <c r="F30" s="305">
        <f t="shared" si="1"/>
        <v>4</v>
      </c>
      <c r="G30" s="62">
        <v>3.0</v>
      </c>
      <c r="H30" s="62">
        <v>3.0</v>
      </c>
      <c r="I30" s="85">
        <f t="shared" si="2"/>
        <v>3</v>
      </c>
      <c r="J30" s="62">
        <v>4.0</v>
      </c>
      <c r="K30" s="361">
        <v>4.0</v>
      </c>
      <c r="L30" s="62">
        <v>4.0</v>
      </c>
      <c r="M30" s="62">
        <v>4.0</v>
      </c>
      <c r="N30" s="365">
        <f t="shared" si="3"/>
        <v>4</v>
      </c>
      <c r="O30" s="63">
        <v>4.0</v>
      </c>
      <c r="P30" s="250">
        <v>4.0</v>
      </c>
      <c r="Q30" s="250">
        <v>4.0</v>
      </c>
      <c r="R30" s="62">
        <v>4.0</v>
      </c>
      <c r="S30" s="62">
        <v>4.0</v>
      </c>
      <c r="T30" s="366">
        <f t="shared" si="4"/>
        <v>4</v>
      </c>
      <c r="U30" s="250">
        <v>4.0</v>
      </c>
      <c r="V30" s="250">
        <v>4.0</v>
      </c>
      <c r="W30" s="63">
        <v>4.0</v>
      </c>
      <c r="X30" s="68">
        <f t="shared" si="5"/>
        <v>4</v>
      </c>
      <c r="Y30" s="250">
        <v>4.0</v>
      </c>
      <c r="Z30" s="250">
        <v>4.0</v>
      </c>
      <c r="AA30" s="62">
        <v>4.0</v>
      </c>
      <c r="AB30" s="212">
        <f t="shared" si="6"/>
        <v>4</v>
      </c>
      <c r="AC30" s="250">
        <v>4.0</v>
      </c>
      <c r="AD30" s="250">
        <v>4.0</v>
      </c>
      <c r="AE30" s="250">
        <v>3.0</v>
      </c>
      <c r="AF30" s="250">
        <v>3.0</v>
      </c>
      <c r="AG30" s="67">
        <f t="shared" si="7"/>
        <v>3.333333333</v>
      </c>
      <c r="AH30" s="250">
        <v>4.0</v>
      </c>
      <c r="AI30" s="250">
        <v>4.0</v>
      </c>
      <c r="AJ30" s="213">
        <v>3.0</v>
      </c>
      <c r="AK30" s="63">
        <v>3.0</v>
      </c>
      <c r="AL30" s="70">
        <f t="shared" si="8"/>
        <v>3.333333333</v>
      </c>
      <c r="AM30" s="364">
        <f t="shared" si="9"/>
        <v>3.933333333</v>
      </c>
    </row>
    <row r="31" ht="15.75" customHeight="1">
      <c r="A31" s="74">
        <v>24.0</v>
      </c>
      <c r="B31" s="118" t="s">
        <v>361</v>
      </c>
      <c r="C31" s="65" t="s">
        <v>45</v>
      </c>
      <c r="D31" s="62">
        <v>6.0</v>
      </c>
      <c r="E31" s="62">
        <v>5.0</v>
      </c>
      <c r="F31" s="305">
        <f t="shared" si="1"/>
        <v>5.5</v>
      </c>
      <c r="G31" s="62">
        <v>6.0</v>
      </c>
      <c r="H31" s="62">
        <v>6.0</v>
      </c>
      <c r="I31" s="85">
        <f t="shared" si="2"/>
        <v>6</v>
      </c>
      <c r="J31" s="62">
        <v>6.0</v>
      </c>
      <c r="K31" s="361">
        <v>6.0</v>
      </c>
      <c r="L31" s="62">
        <v>6.0</v>
      </c>
      <c r="M31" s="62">
        <v>6.0</v>
      </c>
      <c r="N31" s="365">
        <f t="shared" si="3"/>
        <v>6</v>
      </c>
      <c r="O31" s="63">
        <v>6.0</v>
      </c>
      <c r="P31" s="250">
        <v>6.0</v>
      </c>
      <c r="Q31" s="250">
        <v>6.0</v>
      </c>
      <c r="R31" s="62">
        <v>6.0</v>
      </c>
      <c r="S31" s="62">
        <v>6.0</v>
      </c>
      <c r="T31" s="366">
        <f t="shared" si="4"/>
        <v>6</v>
      </c>
      <c r="U31" s="250">
        <v>6.0</v>
      </c>
      <c r="V31" s="250">
        <v>6.0</v>
      </c>
      <c r="W31" s="63">
        <v>6.0</v>
      </c>
      <c r="X31" s="68">
        <f t="shared" si="5"/>
        <v>6</v>
      </c>
      <c r="Y31" s="250">
        <v>6.0</v>
      </c>
      <c r="Z31" s="250">
        <v>6.0</v>
      </c>
      <c r="AA31" s="62">
        <v>6.0</v>
      </c>
      <c r="AB31" s="212">
        <f t="shared" si="6"/>
        <v>6</v>
      </c>
      <c r="AC31" s="250">
        <v>6.0</v>
      </c>
      <c r="AD31" s="250">
        <v>6.0</v>
      </c>
      <c r="AE31" s="250">
        <v>6.0</v>
      </c>
      <c r="AF31" s="250">
        <v>6.0</v>
      </c>
      <c r="AG31" s="67">
        <f t="shared" si="7"/>
        <v>6</v>
      </c>
      <c r="AH31" s="250">
        <v>6.0</v>
      </c>
      <c r="AI31" s="250">
        <v>6.0</v>
      </c>
      <c r="AJ31" s="213">
        <v>6.0</v>
      </c>
      <c r="AK31" s="63">
        <v>6.0</v>
      </c>
      <c r="AL31" s="70">
        <f t="shared" si="8"/>
        <v>6</v>
      </c>
      <c r="AM31" s="364">
        <f t="shared" si="9"/>
        <v>6</v>
      </c>
    </row>
    <row r="32" ht="15.75" customHeight="1">
      <c r="A32" s="74">
        <v>25.0</v>
      </c>
      <c r="B32" s="118" t="s">
        <v>362</v>
      </c>
      <c r="C32" s="65" t="s">
        <v>45</v>
      </c>
      <c r="D32" s="62">
        <v>2.0</v>
      </c>
      <c r="E32" s="62">
        <v>2.0</v>
      </c>
      <c r="F32" s="305">
        <f t="shared" si="1"/>
        <v>2</v>
      </c>
      <c r="G32" s="62">
        <v>1.0</v>
      </c>
      <c r="H32" s="62">
        <v>2.0</v>
      </c>
      <c r="I32" s="85">
        <f t="shared" si="2"/>
        <v>1.5</v>
      </c>
      <c r="J32" s="62">
        <v>2.0</v>
      </c>
      <c r="K32" s="361">
        <v>2.0</v>
      </c>
      <c r="L32" s="62">
        <v>1.0</v>
      </c>
      <c r="M32" s="62">
        <v>1.0</v>
      </c>
      <c r="N32" s="365">
        <f t="shared" si="3"/>
        <v>1</v>
      </c>
      <c r="O32" s="63">
        <v>1.0</v>
      </c>
      <c r="P32" s="250">
        <v>1.0</v>
      </c>
      <c r="Q32" s="250">
        <v>1.0</v>
      </c>
      <c r="R32" s="62">
        <v>1.0</v>
      </c>
      <c r="S32" s="62">
        <v>1.0</v>
      </c>
      <c r="T32" s="366">
        <f t="shared" si="4"/>
        <v>1</v>
      </c>
      <c r="U32" s="250">
        <v>1.0</v>
      </c>
      <c r="V32" s="250">
        <v>1.0</v>
      </c>
      <c r="W32" s="63">
        <v>1.0</v>
      </c>
      <c r="X32" s="68">
        <f t="shared" si="5"/>
        <v>1</v>
      </c>
      <c r="Y32" s="250">
        <v>1.0</v>
      </c>
      <c r="Z32" s="250">
        <v>1.0</v>
      </c>
      <c r="AA32" s="62">
        <v>1.0</v>
      </c>
      <c r="AB32" s="212">
        <f t="shared" si="6"/>
        <v>1</v>
      </c>
      <c r="AC32" s="250">
        <v>1.0</v>
      </c>
      <c r="AD32" s="250">
        <v>1.0</v>
      </c>
      <c r="AE32" s="250">
        <v>1.0</v>
      </c>
      <c r="AF32" s="250">
        <v>1.0</v>
      </c>
      <c r="AG32" s="67">
        <f t="shared" si="7"/>
        <v>1</v>
      </c>
      <c r="AH32" s="250">
        <v>1.0</v>
      </c>
      <c r="AI32" s="250">
        <v>1.0</v>
      </c>
      <c r="AJ32" s="213">
        <v>1.0</v>
      </c>
      <c r="AK32" s="63">
        <v>1.0</v>
      </c>
      <c r="AL32" s="70">
        <f t="shared" si="8"/>
        <v>1</v>
      </c>
      <c r="AM32" s="364">
        <f t="shared" si="9"/>
        <v>1</v>
      </c>
    </row>
    <row r="33" ht="15.75" customHeight="1">
      <c r="A33" s="74">
        <v>26.0</v>
      </c>
      <c r="B33" s="118" t="s">
        <v>363</v>
      </c>
      <c r="C33" s="65" t="s">
        <v>45</v>
      </c>
      <c r="D33" s="62">
        <v>6.0</v>
      </c>
      <c r="E33" s="62">
        <v>5.0</v>
      </c>
      <c r="F33" s="305">
        <f t="shared" si="1"/>
        <v>5.5</v>
      </c>
      <c r="G33" s="62">
        <v>6.0</v>
      </c>
      <c r="H33" s="62">
        <v>6.0</v>
      </c>
      <c r="I33" s="85">
        <f t="shared" si="2"/>
        <v>6</v>
      </c>
      <c r="J33" s="62">
        <v>6.0</v>
      </c>
      <c r="K33" s="361">
        <v>6.0</v>
      </c>
      <c r="L33" s="62">
        <v>6.0</v>
      </c>
      <c r="M33" s="62">
        <v>6.0</v>
      </c>
      <c r="N33" s="365">
        <f t="shared" si="3"/>
        <v>6</v>
      </c>
      <c r="O33" s="63">
        <v>6.0</v>
      </c>
      <c r="P33" s="250">
        <v>6.0</v>
      </c>
      <c r="Q33" s="250">
        <v>6.0</v>
      </c>
      <c r="R33" s="62">
        <v>6.0</v>
      </c>
      <c r="S33" s="62">
        <v>6.0</v>
      </c>
      <c r="T33" s="366">
        <f t="shared" si="4"/>
        <v>6</v>
      </c>
      <c r="U33" s="250">
        <v>6.0</v>
      </c>
      <c r="V33" s="250">
        <v>6.0</v>
      </c>
      <c r="W33" s="63">
        <v>6.0</v>
      </c>
      <c r="X33" s="68">
        <f t="shared" si="5"/>
        <v>6</v>
      </c>
      <c r="Y33" s="250">
        <v>6.0</v>
      </c>
      <c r="Z33" s="250">
        <v>6.0</v>
      </c>
      <c r="AA33" s="62">
        <v>6.0</v>
      </c>
      <c r="AB33" s="212">
        <f t="shared" si="6"/>
        <v>6</v>
      </c>
      <c r="AC33" s="250">
        <v>6.0</v>
      </c>
      <c r="AD33" s="250">
        <v>6.0</v>
      </c>
      <c r="AE33" s="250">
        <v>6.0</v>
      </c>
      <c r="AF33" s="250">
        <v>6.0</v>
      </c>
      <c r="AG33" s="67">
        <f t="shared" si="7"/>
        <v>6</v>
      </c>
      <c r="AH33" s="250">
        <v>6.0</v>
      </c>
      <c r="AI33" s="250">
        <v>6.0</v>
      </c>
      <c r="AJ33" s="213">
        <v>6.0</v>
      </c>
      <c r="AK33" s="63">
        <v>6.0</v>
      </c>
      <c r="AL33" s="70">
        <f t="shared" si="8"/>
        <v>6</v>
      </c>
      <c r="AM33" s="364">
        <f t="shared" si="9"/>
        <v>6</v>
      </c>
    </row>
    <row r="34" ht="15.75" customHeight="1">
      <c r="A34" s="74">
        <v>27.0</v>
      </c>
      <c r="B34" s="118" t="s">
        <v>364</v>
      </c>
      <c r="C34" s="65" t="s">
        <v>45</v>
      </c>
      <c r="D34" s="155">
        <v>5.0</v>
      </c>
      <c r="E34" s="155">
        <v>4.0</v>
      </c>
      <c r="F34" s="359">
        <f t="shared" si="1"/>
        <v>4.5</v>
      </c>
      <c r="G34" s="155">
        <v>5.0</v>
      </c>
      <c r="H34" s="155">
        <v>4.0</v>
      </c>
      <c r="I34" s="360">
        <f t="shared" si="2"/>
        <v>4.5</v>
      </c>
      <c r="J34" s="156">
        <v>5.0</v>
      </c>
      <c r="K34" s="361">
        <v>4.0</v>
      </c>
      <c r="L34" s="62">
        <v>4.0</v>
      </c>
      <c r="M34" s="62">
        <v>4.0</v>
      </c>
      <c r="N34" s="362">
        <f t="shared" si="3"/>
        <v>4</v>
      </c>
      <c r="O34" s="156">
        <v>5.0</v>
      </c>
      <c r="P34" s="245">
        <v>4.0</v>
      </c>
      <c r="Q34" s="245">
        <v>5.0</v>
      </c>
      <c r="R34" s="155">
        <v>5.0</v>
      </c>
      <c r="S34" s="156">
        <v>5.0</v>
      </c>
      <c r="T34" s="363">
        <f t="shared" si="4"/>
        <v>5</v>
      </c>
      <c r="U34" s="245">
        <v>4.0</v>
      </c>
      <c r="V34" s="245">
        <v>5.0</v>
      </c>
      <c r="W34" s="156">
        <v>5.0</v>
      </c>
      <c r="X34" s="158">
        <f t="shared" si="5"/>
        <v>4.666666667</v>
      </c>
      <c r="Y34" s="245">
        <v>4.0</v>
      </c>
      <c r="Z34" s="245">
        <v>5.0</v>
      </c>
      <c r="AA34" s="62">
        <v>4.0</v>
      </c>
      <c r="AB34" s="246">
        <f t="shared" si="6"/>
        <v>4.416666667</v>
      </c>
      <c r="AC34" s="245">
        <v>4.0</v>
      </c>
      <c r="AD34" s="245">
        <v>5.0</v>
      </c>
      <c r="AE34" s="245">
        <v>5.0</v>
      </c>
      <c r="AF34" s="245">
        <v>5.0</v>
      </c>
      <c r="AG34" s="248">
        <f t="shared" si="7"/>
        <v>5</v>
      </c>
      <c r="AH34" s="245">
        <v>5.0</v>
      </c>
      <c r="AI34" s="245">
        <v>5.0</v>
      </c>
      <c r="AJ34" s="213">
        <v>5.0</v>
      </c>
      <c r="AK34" s="63">
        <v>5.0</v>
      </c>
      <c r="AL34" s="160">
        <f t="shared" si="8"/>
        <v>5</v>
      </c>
      <c r="AM34" s="364">
        <f t="shared" si="9"/>
        <v>4.5</v>
      </c>
    </row>
    <row r="35" ht="15.75" customHeight="1">
      <c r="A35" s="74">
        <v>28.0</v>
      </c>
      <c r="B35" s="118" t="s">
        <v>365</v>
      </c>
      <c r="C35" s="65" t="s">
        <v>44</v>
      </c>
      <c r="D35" s="155">
        <v>5.0</v>
      </c>
      <c r="E35" s="155">
        <v>4.0</v>
      </c>
      <c r="F35" s="359">
        <f t="shared" si="1"/>
        <v>4.5</v>
      </c>
      <c r="G35" s="155">
        <v>5.0</v>
      </c>
      <c r="H35" s="155">
        <v>4.0</v>
      </c>
      <c r="I35" s="360">
        <f t="shared" si="2"/>
        <v>4.5</v>
      </c>
      <c r="J35" s="156">
        <v>5.0</v>
      </c>
      <c r="K35" s="361">
        <v>4.0</v>
      </c>
      <c r="L35" s="62">
        <v>4.0</v>
      </c>
      <c r="M35" s="62">
        <v>4.0</v>
      </c>
      <c r="N35" s="362">
        <f t="shared" si="3"/>
        <v>4</v>
      </c>
      <c r="O35" s="156">
        <v>5.0</v>
      </c>
      <c r="P35" s="245">
        <v>4.0</v>
      </c>
      <c r="Q35" s="245">
        <v>5.0</v>
      </c>
      <c r="R35" s="155">
        <v>5.0</v>
      </c>
      <c r="S35" s="156">
        <v>5.0</v>
      </c>
      <c r="T35" s="363">
        <f t="shared" si="4"/>
        <v>5</v>
      </c>
      <c r="U35" s="245">
        <v>4.0</v>
      </c>
      <c r="V35" s="245">
        <v>5.0</v>
      </c>
      <c r="W35" s="156">
        <v>5.0</v>
      </c>
      <c r="X35" s="158">
        <f t="shared" si="5"/>
        <v>4.666666667</v>
      </c>
      <c r="Y35" s="245">
        <v>4.0</v>
      </c>
      <c r="Z35" s="245">
        <v>5.0</v>
      </c>
      <c r="AA35" s="62">
        <v>4.0</v>
      </c>
      <c r="AB35" s="246">
        <f t="shared" si="6"/>
        <v>4.416666667</v>
      </c>
      <c r="AC35" s="245">
        <v>4.0</v>
      </c>
      <c r="AD35" s="245">
        <v>5.0</v>
      </c>
      <c r="AE35" s="245">
        <v>5.0</v>
      </c>
      <c r="AF35" s="245">
        <v>5.0</v>
      </c>
      <c r="AG35" s="248">
        <f t="shared" si="7"/>
        <v>5</v>
      </c>
      <c r="AH35" s="245">
        <v>5.0</v>
      </c>
      <c r="AI35" s="245">
        <v>5.0</v>
      </c>
      <c r="AJ35" s="213">
        <v>5.0</v>
      </c>
      <c r="AK35" s="63">
        <v>5.0</v>
      </c>
      <c r="AL35" s="160">
        <f t="shared" si="8"/>
        <v>5</v>
      </c>
      <c r="AM35" s="364">
        <f t="shared" si="9"/>
        <v>4.5</v>
      </c>
    </row>
    <row r="36" ht="15.75" customHeight="1">
      <c r="A36" s="74">
        <v>29.0</v>
      </c>
      <c r="B36" s="131" t="s">
        <v>366</v>
      </c>
      <c r="C36" s="62" t="s">
        <v>44</v>
      </c>
      <c r="D36" s="62">
        <v>3.0</v>
      </c>
      <c r="E36" s="62">
        <v>3.0</v>
      </c>
      <c r="F36" s="305">
        <f t="shared" si="1"/>
        <v>3</v>
      </c>
      <c r="G36" s="62">
        <v>3.0</v>
      </c>
      <c r="H36" s="62">
        <v>3.0</v>
      </c>
      <c r="I36" s="85">
        <f t="shared" si="2"/>
        <v>3</v>
      </c>
      <c r="J36" s="62">
        <v>3.0</v>
      </c>
      <c r="K36" s="361">
        <v>3.0</v>
      </c>
      <c r="L36" s="62">
        <v>3.0</v>
      </c>
      <c r="M36" s="62">
        <v>3.0</v>
      </c>
      <c r="N36" s="365">
        <f t="shared" si="3"/>
        <v>3</v>
      </c>
      <c r="O36" s="63">
        <v>3.0</v>
      </c>
      <c r="P36" s="250">
        <v>4.0</v>
      </c>
      <c r="Q36" s="250">
        <v>3.0</v>
      </c>
      <c r="R36" s="62">
        <v>3.0</v>
      </c>
      <c r="S36" s="62">
        <v>3.0</v>
      </c>
      <c r="T36" s="366">
        <f t="shared" si="4"/>
        <v>3</v>
      </c>
      <c r="U36" s="250">
        <v>4.0</v>
      </c>
      <c r="V36" s="250">
        <v>3.0</v>
      </c>
      <c r="W36" s="63">
        <v>3.0</v>
      </c>
      <c r="X36" s="68">
        <f t="shared" si="5"/>
        <v>3.333333333</v>
      </c>
      <c r="Y36" s="250">
        <v>4.0</v>
      </c>
      <c r="Z36" s="250">
        <v>3.0</v>
      </c>
      <c r="AA36" s="62">
        <v>3.0</v>
      </c>
      <c r="AB36" s="212">
        <f t="shared" si="6"/>
        <v>3.333333333</v>
      </c>
      <c r="AC36" s="250">
        <v>4.0</v>
      </c>
      <c r="AD36" s="250">
        <v>3.0</v>
      </c>
      <c r="AE36" s="250">
        <v>3.0</v>
      </c>
      <c r="AF36" s="250">
        <v>3.0</v>
      </c>
      <c r="AG36" s="67">
        <f t="shared" si="7"/>
        <v>3</v>
      </c>
      <c r="AH36" s="250">
        <v>3.0</v>
      </c>
      <c r="AI36" s="250">
        <v>3.0</v>
      </c>
      <c r="AJ36" s="213">
        <v>3.0</v>
      </c>
      <c r="AK36" s="63">
        <v>3.0</v>
      </c>
      <c r="AL36" s="70">
        <f t="shared" si="8"/>
        <v>3</v>
      </c>
      <c r="AM36" s="364">
        <f t="shared" si="9"/>
        <v>3.4</v>
      </c>
    </row>
    <row r="37" ht="15.75" customHeight="1">
      <c r="A37" s="74">
        <v>30.0</v>
      </c>
      <c r="B37" s="368" t="s">
        <v>367</v>
      </c>
      <c r="C37" s="62" t="s">
        <v>45</v>
      </c>
      <c r="D37" s="62">
        <v>1.0</v>
      </c>
      <c r="E37" s="62">
        <v>1.0</v>
      </c>
      <c r="F37" s="305">
        <f t="shared" si="1"/>
        <v>1</v>
      </c>
      <c r="G37" s="62">
        <v>1.0</v>
      </c>
      <c r="H37" s="62">
        <v>1.0</v>
      </c>
      <c r="I37" s="85">
        <f t="shared" si="2"/>
        <v>1</v>
      </c>
      <c r="J37" s="62">
        <v>1.0</v>
      </c>
      <c r="K37" s="361">
        <v>1.0</v>
      </c>
      <c r="L37" s="62">
        <v>1.0</v>
      </c>
      <c r="M37" s="62">
        <v>1.0</v>
      </c>
      <c r="N37" s="365">
        <f t="shared" si="3"/>
        <v>1</v>
      </c>
      <c r="O37" s="63">
        <v>1.0</v>
      </c>
      <c r="P37" s="250">
        <v>1.0</v>
      </c>
      <c r="Q37" s="250">
        <v>1.0</v>
      </c>
      <c r="R37" s="62">
        <v>1.0</v>
      </c>
      <c r="S37" s="62">
        <v>1.0</v>
      </c>
      <c r="T37" s="366">
        <f t="shared" si="4"/>
        <v>1</v>
      </c>
      <c r="U37" s="250">
        <v>1.0</v>
      </c>
      <c r="V37" s="250">
        <v>1.0</v>
      </c>
      <c r="W37" s="63">
        <v>1.0</v>
      </c>
      <c r="X37" s="68">
        <f t="shared" si="5"/>
        <v>1</v>
      </c>
      <c r="Y37" s="250">
        <v>1.0</v>
      </c>
      <c r="Z37" s="250">
        <v>1.0</v>
      </c>
      <c r="AA37" s="62">
        <v>1.0</v>
      </c>
      <c r="AB37" s="212">
        <f t="shared" si="6"/>
        <v>1</v>
      </c>
      <c r="AC37" s="250">
        <v>1.0</v>
      </c>
      <c r="AD37" s="250">
        <v>1.0</v>
      </c>
      <c r="AE37" s="250">
        <v>1.0</v>
      </c>
      <c r="AF37" s="250">
        <v>1.0</v>
      </c>
      <c r="AG37" s="67">
        <f t="shared" si="7"/>
        <v>1</v>
      </c>
      <c r="AH37" s="250">
        <v>1.0</v>
      </c>
      <c r="AI37" s="250">
        <v>1.0</v>
      </c>
      <c r="AJ37" s="213">
        <v>1.0</v>
      </c>
      <c r="AK37" s="63">
        <v>1.0</v>
      </c>
      <c r="AL37" s="70">
        <f t="shared" si="8"/>
        <v>1</v>
      </c>
      <c r="AM37" s="364">
        <f t="shared" si="9"/>
        <v>1</v>
      </c>
    </row>
    <row r="38" ht="15.75" customHeight="1">
      <c r="A38" s="74">
        <v>31.0</v>
      </c>
      <c r="B38" s="369" t="s">
        <v>368</v>
      </c>
      <c r="C38" s="62" t="s">
        <v>44</v>
      </c>
      <c r="D38" s="155">
        <v>5.0</v>
      </c>
      <c r="E38" s="155">
        <v>4.0</v>
      </c>
      <c r="F38" s="359">
        <f t="shared" si="1"/>
        <v>4.5</v>
      </c>
      <c r="G38" s="155">
        <v>5.0</v>
      </c>
      <c r="H38" s="155">
        <v>4.0</v>
      </c>
      <c r="I38" s="360">
        <f t="shared" si="2"/>
        <v>4.5</v>
      </c>
      <c r="J38" s="156">
        <v>5.0</v>
      </c>
      <c r="K38" s="361">
        <v>4.0</v>
      </c>
      <c r="L38" s="62">
        <v>4.0</v>
      </c>
      <c r="M38" s="62">
        <v>4.0</v>
      </c>
      <c r="N38" s="362">
        <f t="shared" si="3"/>
        <v>4</v>
      </c>
      <c r="O38" s="156">
        <v>5.0</v>
      </c>
      <c r="P38" s="245">
        <v>4.0</v>
      </c>
      <c r="Q38" s="245">
        <v>5.0</v>
      </c>
      <c r="R38" s="155">
        <v>5.0</v>
      </c>
      <c r="S38" s="156">
        <v>5.0</v>
      </c>
      <c r="T38" s="363">
        <f t="shared" si="4"/>
        <v>5</v>
      </c>
      <c r="U38" s="245">
        <v>4.0</v>
      </c>
      <c r="V38" s="245">
        <v>5.0</v>
      </c>
      <c r="W38" s="156">
        <v>5.0</v>
      </c>
      <c r="X38" s="158">
        <f t="shared" si="5"/>
        <v>4.666666667</v>
      </c>
      <c r="Y38" s="245">
        <v>4.0</v>
      </c>
      <c r="Z38" s="245">
        <v>5.0</v>
      </c>
      <c r="AA38" s="62">
        <v>4.0</v>
      </c>
      <c r="AB38" s="246">
        <f t="shared" si="6"/>
        <v>4.416666667</v>
      </c>
      <c r="AC38" s="245">
        <v>4.0</v>
      </c>
      <c r="AD38" s="245">
        <v>5.0</v>
      </c>
      <c r="AE38" s="245">
        <v>5.0</v>
      </c>
      <c r="AF38" s="245">
        <v>5.0</v>
      </c>
      <c r="AG38" s="248">
        <f t="shared" si="7"/>
        <v>5</v>
      </c>
      <c r="AH38" s="245">
        <v>5.0</v>
      </c>
      <c r="AI38" s="245">
        <v>5.0</v>
      </c>
      <c r="AJ38" s="213">
        <v>5.0</v>
      </c>
      <c r="AK38" s="63">
        <v>5.0</v>
      </c>
      <c r="AL38" s="160">
        <f t="shared" si="8"/>
        <v>5</v>
      </c>
      <c r="AM38" s="364">
        <f t="shared" si="9"/>
        <v>4.5</v>
      </c>
    </row>
    <row r="39" ht="15.75" customHeight="1">
      <c r="A39" s="74">
        <v>32.0</v>
      </c>
      <c r="B39" s="370" t="s">
        <v>369</v>
      </c>
      <c r="C39" s="62" t="s">
        <v>45</v>
      </c>
      <c r="D39" s="155">
        <v>5.0</v>
      </c>
      <c r="E39" s="155">
        <v>4.0</v>
      </c>
      <c r="F39" s="359">
        <f t="shared" si="1"/>
        <v>4.5</v>
      </c>
      <c r="G39" s="155">
        <v>5.0</v>
      </c>
      <c r="H39" s="155">
        <v>4.0</v>
      </c>
      <c r="I39" s="360">
        <f t="shared" si="2"/>
        <v>4.5</v>
      </c>
      <c r="J39" s="156">
        <v>5.0</v>
      </c>
      <c r="K39" s="361">
        <v>4.0</v>
      </c>
      <c r="L39" s="62">
        <v>4.0</v>
      </c>
      <c r="M39" s="62">
        <v>4.0</v>
      </c>
      <c r="N39" s="362">
        <f t="shared" si="3"/>
        <v>4</v>
      </c>
      <c r="O39" s="156">
        <v>5.0</v>
      </c>
      <c r="P39" s="245">
        <v>4.0</v>
      </c>
      <c r="Q39" s="245">
        <v>5.0</v>
      </c>
      <c r="R39" s="155">
        <v>5.0</v>
      </c>
      <c r="S39" s="156">
        <v>5.0</v>
      </c>
      <c r="T39" s="363">
        <f t="shared" si="4"/>
        <v>5</v>
      </c>
      <c r="U39" s="245">
        <v>4.0</v>
      </c>
      <c r="V39" s="245">
        <v>5.0</v>
      </c>
      <c r="W39" s="156">
        <v>5.0</v>
      </c>
      <c r="X39" s="158">
        <f t="shared" si="5"/>
        <v>4.666666667</v>
      </c>
      <c r="Y39" s="245">
        <v>4.0</v>
      </c>
      <c r="Z39" s="245">
        <v>5.0</v>
      </c>
      <c r="AA39" s="62">
        <v>4.0</v>
      </c>
      <c r="AB39" s="246">
        <f t="shared" si="6"/>
        <v>4.416666667</v>
      </c>
      <c r="AC39" s="245">
        <v>4.0</v>
      </c>
      <c r="AD39" s="245">
        <v>5.0</v>
      </c>
      <c r="AE39" s="245">
        <v>5.0</v>
      </c>
      <c r="AF39" s="245">
        <v>5.0</v>
      </c>
      <c r="AG39" s="248">
        <f t="shared" si="7"/>
        <v>5</v>
      </c>
      <c r="AH39" s="245">
        <v>5.0</v>
      </c>
      <c r="AI39" s="245">
        <v>5.0</v>
      </c>
      <c r="AJ39" s="213">
        <v>5.0</v>
      </c>
      <c r="AK39" s="63">
        <v>5.0</v>
      </c>
      <c r="AL39" s="160">
        <f t="shared" si="8"/>
        <v>5</v>
      </c>
      <c r="AM39" s="364">
        <f t="shared" si="9"/>
        <v>4.5</v>
      </c>
    </row>
    <row r="40" ht="15.75" customHeight="1">
      <c r="A40" s="74">
        <v>33.0</v>
      </c>
      <c r="B40" s="370"/>
      <c r="C40" s="62"/>
      <c r="D40" s="75"/>
      <c r="E40" s="65"/>
      <c r="F40" s="305">
        <f t="shared" si="1"/>
        <v>0</v>
      </c>
      <c r="G40" s="65"/>
      <c r="H40" s="65"/>
      <c r="I40" s="85">
        <f t="shared" si="2"/>
        <v>0</v>
      </c>
      <c r="J40" s="65"/>
      <c r="K40" s="361"/>
      <c r="L40" s="62"/>
      <c r="M40" s="62"/>
      <c r="N40" s="365">
        <f t="shared" si="3"/>
        <v>0</v>
      </c>
      <c r="O40" s="63"/>
      <c r="P40" s="62"/>
      <c r="Q40" s="75"/>
      <c r="R40" s="62"/>
      <c r="S40" s="75"/>
      <c r="T40" s="366">
        <f t="shared" si="4"/>
        <v>0</v>
      </c>
      <c r="U40" s="65"/>
      <c r="V40" s="65"/>
      <c r="W40" s="65"/>
      <c r="X40" s="68">
        <f t="shared" si="5"/>
        <v>0</v>
      </c>
      <c r="Y40" s="65"/>
      <c r="Z40" s="65"/>
      <c r="AA40" s="62"/>
      <c r="AB40" s="212">
        <f t="shared" si="6"/>
        <v>0</v>
      </c>
      <c r="AC40" s="65"/>
      <c r="AD40" s="65"/>
      <c r="AE40" s="65"/>
      <c r="AF40" s="65"/>
      <c r="AG40" s="67">
        <f t="shared" si="7"/>
        <v>0</v>
      </c>
      <c r="AH40" s="65"/>
      <c r="AI40" s="250"/>
      <c r="AJ40" s="213"/>
      <c r="AK40" s="63"/>
      <c r="AL40" s="70">
        <f t="shared" si="8"/>
        <v>0</v>
      </c>
      <c r="AM40" s="364">
        <f t="shared" si="9"/>
        <v>0</v>
      </c>
    </row>
    <row r="41" ht="15.75" customHeight="1">
      <c r="A41" s="74">
        <v>34.0</v>
      </c>
      <c r="B41" s="370"/>
      <c r="C41" s="62"/>
      <c r="D41" s="75"/>
      <c r="E41" s="65"/>
      <c r="F41" s="305">
        <f t="shared" si="1"/>
        <v>0</v>
      </c>
      <c r="G41" s="65"/>
      <c r="H41" s="65"/>
      <c r="I41" s="85">
        <f t="shared" si="2"/>
        <v>0</v>
      </c>
      <c r="J41" s="65"/>
      <c r="K41" s="361"/>
      <c r="L41" s="62"/>
      <c r="M41" s="62"/>
      <c r="N41" s="365">
        <f t="shared" si="3"/>
        <v>0</v>
      </c>
      <c r="O41" s="63"/>
      <c r="P41" s="62"/>
      <c r="Q41" s="75"/>
      <c r="R41" s="62"/>
      <c r="S41" s="75"/>
      <c r="T41" s="366">
        <f t="shared" si="4"/>
        <v>0</v>
      </c>
      <c r="U41" s="65"/>
      <c r="V41" s="65"/>
      <c r="W41" s="65"/>
      <c r="X41" s="68">
        <f t="shared" si="5"/>
        <v>0</v>
      </c>
      <c r="Y41" s="65"/>
      <c r="Z41" s="65"/>
      <c r="AA41" s="62"/>
      <c r="AB41" s="212">
        <f t="shared" si="6"/>
        <v>0</v>
      </c>
      <c r="AC41" s="65"/>
      <c r="AD41" s="65"/>
      <c r="AE41" s="65"/>
      <c r="AF41" s="65"/>
      <c r="AG41" s="67">
        <f t="shared" si="7"/>
        <v>0</v>
      </c>
      <c r="AH41" s="65"/>
      <c r="AI41" s="65"/>
      <c r="AJ41" s="65"/>
      <c r="AK41" s="65"/>
      <c r="AL41" s="70">
        <f t="shared" si="8"/>
        <v>0</v>
      </c>
      <c r="AM41" s="364">
        <f t="shared" si="9"/>
        <v>0</v>
      </c>
    </row>
    <row r="42" ht="15.75" customHeight="1">
      <c r="A42" s="74">
        <v>35.0</v>
      </c>
      <c r="B42" s="75"/>
      <c r="C42" s="75"/>
      <c r="D42" s="75"/>
      <c r="E42" s="75"/>
      <c r="F42" s="305">
        <f t="shared" si="1"/>
        <v>0</v>
      </c>
      <c r="G42" s="75"/>
      <c r="H42" s="75"/>
      <c r="I42" s="85">
        <f t="shared" si="2"/>
        <v>0</v>
      </c>
      <c r="J42" s="75"/>
      <c r="K42" s="75"/>
      <c r="L42" s="75"/>
      <c r="M42" s="75"/>
      <c r="N42" s="365">
        <f t="shared" si="3"/>
        <v>0</v>
      </c>
      <c r="O42" s="63"/>
      <c r="P42" s="75"/>
      <c r="Q42" s="75"/>
      <c r="R42" s="75"/>
      <c r="S42" s="75"/>
      <c r="T42" s="366">
        <f t="shared" si="4"/>
        <v>0</v>
      </c>
      <c r="U42" s="75"/>
      <c r="V42" s="75"/>
      <c r="W42" s="75"/>
      <c r="X42" s="68">
        <f t="shared" si="5"/>
        <v>0</v>
      </c>
      <c r="Y42" s="75"/>
      <c r="Z42" s="75"/>
      <c r="AA42" s="75"/>
      <c r="AB42" s="212">
        <f t="shared" si="6"/>
        <v>0</v>
      </c>
      <c r="AC42" s="75"/>
      <c r="AD42" s="75"/>
      <c r="AE42" s="75"/>
      <c r="AF42" s="75"/>
      <c r="AG42" s="67">
        <f t="shared" si="7"/>
        <v>0</v>
      </c>
      <c r="AH42" s="75"/>
      <c r="AI42" s="75"/>
      <c r="AJ42" s="75"/>
      <c r="AK42" s="75"/>
      <c r="AL42" s="70">
        <f t="shared" si="8"/>
        <v>0</v>
      </c>
      <c r="AM42" s="371">
        <f t="shared" si="9"/>
        <v>0</v>
      </c>
    </row>
    <row r="43" ht="15.75" customHeight="1">
      <c r="A43" s="74">
        <v>36.0</v>
      </c>
      <c r="B43" s="75"/>
      <c r="C43" s="75"/>
      <c r="D43" s="75"/>
      <c r="E43" s="75"/>
      <c r="F43" s="305">
        <f t="shared" si="1"/>
        <v>0</v>
      </c>
      <c r="G43" s="75"/>
      <c r="H43" s="75"/>
      <c r="I43" s="85">
        <f t="shared" si="2"/>
        <v>0</v>
      </c>
      <c r="J43" s="75"/>
      <c r="K43" s="75"/>
      <c r="L43" s="75"/>
      <c r="M43" s="75"/>
      <c r="N43" s="365">
        <f t="shared" si="3"/>
        <v>0</v>
      </c>
      <c r="O43" s="63"/>
      <c r="P43" s="75"/>
      <c r="Q43" s="75"/>
      <c r="R43" s="75"/>
      <c r="S43" s="75"/>
      <c r="T43" s="366">
        <f t="shared" si="4"/>
        <v>0</v>
      </c>
      <c r="U43" s="75"/>
      <c r="V43" s="75"/>
      <c r="W43" s="75"/>
      <c r="X43" s="68">
        <f t="shared" si="5"/>
        <v>0</v>
      </c>
      <c r="Y43" s="75"/>
      <c r="Z43" s="75"/>
      <c r="AA43" s="75"/>
      <c r="AB43" s="212">
        <f t="shared" si="6"/>
        <v>0</v>
      </c>
      <c r="AC43" s="75"/>
      <c r="AD43" s="75"/>
      <c r="AE43" s="75"/>
      <c r="AF43" s="75"/>
      <c r="AG43" s="67">
        <f t="shared" si="7"/>
        <v>0</v>
      </c>
      <c r="AH43" s="75"/>
      <c r="AI43" s="75"/>
      <c r="AJ43" s="75"/>
      <c r="AK43" s="75"/>
      <c r="AL43" s="70">
        <f t="shared" si="8"/>
        <v>0</v>
      </c>
      <c r="AM43" s="371">
        <f t="shared" si="9"/>
        <v>0</v>
      </c>
    </row>
    <row r="44" ht="15.75" customHeight="1">
      <c r="A44" s="74">
        <v>37.0</v>
      </c>
      <c r="B44" s="75"/>
      <c r="C44" s="75"/>
      <c r="D44" s="75"/>
      <c r="E44" s="75"/>
      <c r="F44" s="305">
        <f t="shared" si="1"/>
        <v>0</v>
      </c>
      <c r="G44" s="75"/>
      <c r="H44" s="75"/>
      <c r="I44" s="85">
        <f t="shared" si="2"/>
        <v>0</v>
      </c>
      <c r="J44" s="75"/>
      <c r="K44" s="75"/>
      <c r="L44" s="75"/>
      <c r="M44" s="75"/>
      <c r="N44" s="365">
        <f t="shared" si="3"/>
        <v>0</v>
      </c>
      <c r="O44" s="63"/>
      <c r="P44" s="75"/>
      <c r="Q44" s="75"/>
      <c r="R44" s="75"/>
      <c r="S44" s="75"/>
      <c r="T44" s="366">
        <f t="shared" si="4"/>
        <v>0</v>
      </c>
      <c r="U44" s="75"/>
      <c r="V44" s="75"/>
      <c r="W44" s="75"/>
      <c r="X44" s="68">
        <f t="shared" si="5"/>
        <v>0</v>
      </c>
      <c r="Y44" s="75"/>
      <c r="Z44" s="75"/>
      <c r="AA44" s="75"/>
      <c r="AB44" s="212">
        <f t="shared" si="6"/>
        <v>0</v>
      </c>
      <c r="AC44" s="75"/>
      <c r="AD44" s="75"/>
      <c r="AE44" s="75"/>
      <c r="AF44" s="75"/>
      <c r="AG44" s="67">
        <f t="shared" si="7"/>
        <v>0</v>
      </c>
      <c r="AH44" s="75"/>
      <c r="AI44" s="75"/>
      <c r="AJ44" s="75"/>
      <c r="AK44" s="75"/>
      <c r="AL44" s="70">
        <f t="shared" si="8"/>
        <v>0</v>
      </c>
      <c r="AM44" s="371">
        <f t="shared" si="9"/>
        <v>0</v>
      </c>
    </row>
    <row r="45" ht="15.75" customHeight="1">
      <c r="A45" s="84">
        <v>38.0</v>
      </c>
      <c r="B45" s="163"/>
      <c r="C45" s="163"/>
      <c r="D45" s="163"/>
      <c r="E45" s="163"/>
      <c r="F45" s="372">
        <f t="shared" si="1"/>
        <v>0</v>
      </c>
      <c r="G45" s="163"/>
      <c r="H45" s="163"/>
      <c r="I45" s="373">
        <f t="shared" si="2"/>
        <v>0</v>
      </c>
      <c r="J45" s="163"/>
      <c r="K45" s="163"/>
      <c r="L45" s="163"/>
      <c r="M45" s="163"/>
      <c r="N45" s="374">
        <f t="shared" si="3"/>
        <v>0</v>
      </c>
      <c r="O45" s="164"/>
      <c r="P45" s="163"/>
      <c r="Q45" s="163"/>
      <c r="R45" s="163"/>
      <c r="S45" s="163"/>
      <c r="T45" s="375">
        <f t="shared" si="4"/>
        <v>0</v>
      </c>
      <c r="U45" s="163"/>
      <c r="V45" s="163"/>
      <c r="W45" s="163"/>
      <c r="X45" s="166">
        <f t="shared" si="5"/>
        <v>0</v>
      </c>
      <c r="Y45" s="163"/>
      <c r="Z45" s="163"/>
      <c r="AA45" s="163"/>
      <c r="AB45" s="376">
        <f t="shared" si="6"/>
        <v>0</v>
      </c>
      <c r="AC45" s="163"/>
      <c r="AD45" s="163"/>
      <c r="AE45" s="163"/>
      <c r="AF45" s="163"/>
      <c r="AG45" s="377">
        <f t="shared" si="7"/>
        <v>0</v>
      </c>
      <c r="AH45" s="163"/>
      <c r="AI45" s="163"/>
      <c r="AJ45" s="163"/>
      <c r="AK45" s="163"/>
      <c r="AL45" s="168">
        <f t="shared" si="8"/>
        <v>0</v>
      </c>
      <c r="AM45" s="378">
        <f t="shared" si="9"/>
        <v>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6:B7"/>
    <mergeCell ref="C6:C7"/>
    <mergeCell ref="D6:F6"/>
    <mergeCell ref="G6:I6"/>
    <mergeCell ref="K6:N6"/>
    <mergeCell ref="P6:T6"/>
    <mergeCell ref="U6:X6"/>
    <mergeCell ref="Y6:AA6"/>
    <mergeCell ref="AC6:AG6"/>
    <mergeCell ref="AH6:AL6"/>
    <mergeCell ref="A1:AM1"/>
    <mergeCell ref="C3:P3"/>
    <mergeCell ref="Q3:U3"/>
    <mergeCell ref="V3:AE3"/>
    <mergeCell ref="C4:P4"/>
    <mergeCell ref="V4:AL4"/>
    <mergeCell ref="A6:A7"/>
    <mergeCell ref="AM6:AM7"/>
  </mergeCells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0"/>
    <col customWidth="1" min="2" max="2" width="41.44"/>
    <col customWidth="1" min="3" max="4" width="3.44"/>
    <col customWidth="1" min="5" max="5" width="3.67"/>
    <col customWidth="1" min="6" max="6" width="4.0"/>
    <col customWidth="1" min="7" max="8" width="3.67"/>
    <col customWidth="1" min="9" max="9" width="4.0"/>
    <col customWidth="1" min="10" max="10" width="3.44"/>
    <col customWidth="1" min="11" max="11" width="3.67"/>
    <col customWidth="1" min="12" max="13" width="3.44"/>
    <col customWidth="1" min="14" max="14" width="3.33"/>
    <col customWidth="1" min="15" max="15" width="3.78"/>
    <col customWidth="1" min="16" max="16" width="3.67"/>
    <col customWidth="1" min="17" max="17" width="3.44"/>
    <col customWidth="1" min="18" max="19" width="3.67"/>
    <col customWidth="1" min="20" max="20" width="3.78"/>
    <col customWidth="1" min="21" max="21" width="3.67"/>
    <col customWidth="1" min="22" max="23" width="3.78"/>
    <col customWidth="1" min="24" max="24" width="4.0"/>
    <col customWidth="1" min="25" max="25" width="3.78"/>
    <col customWidth="1" min="26" max="26" width="3.67"/>
    <col customWidth="1" min="27" max="27" width="3.78"/>
    <col customWidth="1" min="28" max="28" width="4.0"/>
    <col customWidth="1" min="29" max="29" width="3.67"/>
    <col customWidth="1" min="30" max="30" width="3.78"/>
    <col customWidth="1" min="31" max="31" width="3.44"/>
    <col customWidth="1" min="32" max="32" width="3.78"/>
    <col customWidth="1" min="33" max="33" width="4.0"/>
    <col customWidth="1" min="34" max="34" width="3.11"/>
    <col customWidth="1" min="35" max="38" width="3.67"/>
    <col customWidth="1" min="39" max="39" width="4.67"/>
  </cols>
  <sheetData>
    <row r="1" ht="23.25" customHeight="1">
      <c r="A1" s="173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15.75" customHeight="1">
      <c r="A2" s="4"/>
      <c r="B2" s="5"/>
      <c r="C2" s="5"/>
      <c r="D2" s="5"/>
      <c r="E2" s="5"/>
      <c r="F2" s="5"/>
      <c r="K2" s="5"/>
      <c r="L2" s="5"/>
      <c r="M2" s="5"/>
      <c r="N2" s="5"/>
      <c r="O2" s="5"/>
      <c r="P2" s="5"/>
      <c r="Q2" s="5"/>
      <c r="R2" s="5"/>
      <c r="S2" s="5"/>
      <c r="T2" s="5"/>
      <c r="AM2" s="7"/>
    </row>
    <row r="3" ht="26.25" customHeight="1">
      <c r="A3" s="8"/>
      <c r="B3" s="9" t="s">
        <v>1</v>
      </c>
      <c r="C3" s="10" t="s">
        <v>2</v>
      </c>
      <c r="Q3" s="9" t="s">
        <v>310</v>
      </c>
      <c r="V3" s="11" t="s">
        <v>370</v>
      </c>
      <c r="AM3" s="7"/>
    </row>
    <row r="4" ht="23.25" customHeight="1">
      <c r="A4" s="12"/>
      <c r="B4" s="13" t="s">
        <v>5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312</v>
      </c>
      <c r="R4" s="13"/>
      <c r="S4" s="13"/>
      <c r="T4" s="13"/>
      <c r="U4" s="13"/>
      <c r="V4" s="174" t="s">
        <v>371</v>
      </c>
      <c r="W4" s="15"/>
      <c r="X4" s="15"/>
      <c r="Y4" s="15"/>
      <c r="Z4" s="15"/>
      <c r="AA4" s="15"/>
      <c r="AB4" s="15"/>
      <c r="AC4" s="15"/>
      <c r="AD4" s="15"/>
      <c r="AE4" s="15"/>
      <c r="AF4" s="175"/>
      <c r="AG4" s="175"/>
      <c r="AH4" s="17"/>
      <c r="AI4" s="17"/>
      <c r="AJ4" s="17"/>
      <c r="AK4" s="17"/>
      <c r="AL4" s="17"/>
      <c r="AM4" s="18"/>
    </row>
    <row r="5" ht="15.75" customHeight="1">
      <c r="A5" s="19"/>
      <c r="B5" s="19"/>
      <c r="C5" s="19"/>
    </row>
    <row r="6" ht="15.75" customHeight="1">
      <c r="A6" s="176" t="s">
        <v>9</v>
      </c>
      <c r="B6" s="176" t="s">
        <v>10</v>
      </c>
      <c r="C6" s="329" t="s">
        <v>11</v>
      </c>
      <c r="D6" s="22" t="s">
        <v>12</v>
      </c>
      <c r="E6" s="23"/>
      <c r="F6" s="24"/>
      <c r="G6" s="330" t="s">
        <v>53</v>
      </c>
      <c r="H6" s="23"/>
      <c r="I6" s="24"/>
      <c r="J6" s="331" t="s">
        <v>131</v>
      </c>
      <c r="K6" s="332" t="s">
        <v>132</v>
      </c>
      <c r="L6" s="23"/>
      <c r="M6" s="23"/>
      <c r="N6" s="24"/>
      <c r="O6" s="333" t="s">
        <v>133</v>
      </c>
      <c r="P6" s="334" t="s">
        <v>14</v>
      </c>
      <c r="Q6" s="23"/>
      <c r="R6" s="23"/>
      <c r="S6" s="23"/>
      <c r="T6" s="24"/>
      <c r="U6" s="26" t="s">
        <v>15</v>
      </c>
      <c r="V6" s="23"/>
      <c r="W6" s="23"/>
      <c r="X6" s="24"/>
      <c r="Y6" s="273" t="s">
        <v>16</v>
      </c>
      <c r="Z6" s="23"/>
      <c r="AA6" s="335"/>
      <c r="AB6" s="336"/>
      <c r="AC6" s="25" t="s">
        <v>17</v>
      </c>
      <c r="AD6" s="23"/>
      <c r="AE6" s="23"/>
      <c r="AF6" s="23"/>
      <c r="AG6" s="24"/>
      <c r="AH6" s="28" t="s">
        <v>18</v>
      </c>
      <c r="AI6" s="23"/>
      <c r="AJ6" s="23"/>
      <c r="AK6" s="23"/>
      <c r="AL6" s="24"/>
      <c r="AM6" s="337" t="s">
        <v>19</v>
      </c>
    </row>
    <row r="7" ht="46.5" customHeight="1">
      <c r="A7" s="188"/>
      <c r="B7" s="188"/>
      <c r="C7" s="188"/>
      <c r="D7" s="34" t="s">
        <v>314</v>
      </c>
      <c r="E7" s="35" t="s">
        <v>315</v>
      </c>
      <c r="F7" s="219" t="s">
        <v>20</v>
      </c>
      <c r="G7" s="379" t="s">
        <v>314</v>
      </c>
      <c r="H7" s="380" t="s">
        <v>315</v>
      </c>
      <c r="I7" s="340" t="s">
        <v>20</v>
      </c>
      <c r="J7" s="341" t="s">
        <v>22</v>
      </c>
      <c r="K7" s="381" t="s">
        <v>316</v>
      </c>
      <c r="L7" s="382" t="s">
        <v>317</v>
      </c>
      <c r="M7" s="382" t="s">
        <v>318</v>
      </c>
      <c r="N7" s="344" t="s">
        <v>20</v>
      </c>
      <c r="O7" s="345" t="s">
        <v>319</v>
      </c>
      <c r="P7" s="346" t="s">
        <v>320</v>
      </c>
      <c r="Q7" s="347" t="s">
        <v>321</v>
      </c>
      <c r="R7" s="347" t="s">
        <v>322</v>
      </c>
      <c r="S7" s="347" t="s">
        <v>323</v>
      </c>
      <c r="T7" s="348" t="s">
        <v>20</v>
      </c>
      <c r="U7" s="349" t="s">
        <v>324</v>
      </c>
      <c r="V7" s="350" t="s">
        <v>325</v>
      </c>
      <c r="W7" s="351" t="s">
        <v>326</v>
      </c>
      <c r="X7" s="352" t="s">
        <v>20</v>
      </c>
      <c r="Y7" s="286" t="s">
        <v>327</v>
      </c>
      <c r="Z7" s="287" t="s">
        <v>328</v>
      </c>
      <c r="AA7" s="289" t="s">
        <v>329</v>
      </c>
      <c r="AB7" s="288" t="s">
        <v>20</v>
      </c>
      <c r="AC7" s="238" t="s">
        <v>330</v>
      </c>
      <c r="AD7" s="239" t="s">
        <v>331</v>
      </c>
      <c r="AE7" s="239" t="s">
        <v>332</v>
      </c>
      <c r="AF7" s="354" t="s">
        <v>333</v>
      </c>
      <c r="AG7" s="240" t="s">
        <v>20</v>
      </c>
      <c r="AH7" s="355" t="s">
        <v>334</v>
      </c>
      <c r="AI7" s="356" t="s">
        <v>335</v>
      </c>
      <c r="AJ7" s="356" t="s">
        <v>336</v>
      </c>
      <c r="AK7" s="357" t="s">
        <v>337</v>
      </c>
      <c r="AL7" s="358" t="s">
        <v>20</v>
      </c>
      <c r="AM7" s="188"/>
    </row>
    <row r="8" ht="15.75" customHeight="1">
      <c r="A8" s="59">
        <v>1.0</v>
      </c>
      <c r="B8" s="130" t="s">
        <v>372</v>
      </c>
      <c r="C8" s="77" t="s">
        <v>44</v>
      </c>
      <c r="D8" s="62">
        <v>6.0</v>
      </c>
      <c r="E8" s="62">
        <v>6.0</v>
      </c>
      <c r="F8" s="359">
        <f t="shared" ref="F8:F25" si="1">SUM(D8:E8)/2</f>
        <v>6</v>
      </c>
      <c r="G8" s="62">
        <v>6.0</v>
      </c>
      <c r="H8" s="62">
        <v>5.0</v>
      </c>
      <c r="I8" s="360">
        <f t="shared" ref="I8:I45" si="2">SUM(G8:H8)/2</f>
        <v>5.5</v>
      </c>
      <c r="J8" s="156">
        <v>6.0</v>
      </c>
      <c r="K8" s="156">
        <v>5.0</v>
      </c>
      <c r="L8" s="156">
        <v>5.0</v>
      </c>
      <c r="M8" s="156">
        <v>5.0</v>
      </c>
      <c r="N8" s="362">
        <f t="shared" ref="N8:N45" si="3">SUM(L8:M8)/2</f>
        <v>5</v>
      </c>
      <c r="O8" s="156">
        <v>6.0</v>
      </c>
      <c r="P8" s="156">
        <v>6.0</v>
      </c>
      <c r="Q8" s="156">
        <v>6.0</v>
      </c>
      <c r="R8" s="156">
        <v>5.0</v>
      </c>
      <c r="S8" s="156">
        <v>5.0</v>
      </c>
      <c r="T8" s="363">
        <f t="shared" ref="T8:T25" si="4">SUM(Q8:S8)/3</f>
        <v>5.333333333</v>
      </c>
      <c r="U8" s="156">
        <v>6.0</v>
      </c>
      <c r="V8" s="156">
        <v>6.0</v>
      </c>
      <c r="W8" s="156">
        <v>6.0</v>
      </c>
      <c r="X8" s="158">
        <f t="shared" ref="X8:X25" si="5">SUM(U8:W8)/3</f>
        <v>6</v>
      </c>
      <c r="Y8" s="156">
        <v>6.0</v>
      </c>
      <c r="Z8" s="156">
        <v>6.0</v>
      </c>
      <c r="AA8" s="156">
        <v>5.0</v>
      </c>
      <c r="AB8" s="246">
        <f t="shared" ref="AB8:AB25" si="6">SUM(X8:AA8)/4</f>
        <v>5.75</v>
      </c>
      <c r="AC8" s="156">
        <v>6.0</v>
      </c>
      <c r="AD8" s="156">
        <v>6.0</v>
      </c>
      <c r="AE8" s="156">
        <v>5.0</v>
      </c>
      <c r="AF8" s="156">
        <v>6.0</v>
      </c>
      <c r="AG8" s="248">
        <f t="shared" ref="AG8:AG25" si="7">SUM(AD8:AF8)/3</f>
        <v>5.666666667</v>
      </c>
      <c r="AH8" s="156">
        <v>6.0</v>
      </c>
      <c r="AI8" s="156">
        <v>6.0</v>
      </c>
      <c r="AJ8" s="156">
        <v>5.0</v>
      </c>
      <c r="AK8" s="156">
        <v>5.0</v>
      </c>
      <c r="AL8" s="160">
        <f t="shared" ref="AL8:AL45" si="8">SUM(AI8:AK8)/3</f>
        <v>5.333333333</v>
      </c>
      <c r="AM8" s="364">
        <f t="shared" ref="AM8:AM45" si="9">SUM(AL8,AH8,AC8,Y8,U8,R8,Q8,P8,O8,L8)/10</f>
        <v>5.733333333</v>
      </c>
    </row>
    <row r="9" ht="15.75" customHeight="1">
      <c r="A9" s="74">
        <v>2.0</v>
      </c>
      <c r="B9" s="118" t="s">
        <v>373</v>
      </c>
      <c r="C9" s="65" t="s">
        <v>44</v>
      </c>
      <c r="D9" s="62"/>
      <c r="E9" s="62"/>
      <c r="F9" s="305">
        <f t="shared" si="1"/>
        <v>0</v>
      </c>
      <c r="G9" s="62"/>
      <c r="H9" s="62"/>
      <c r="I9" s="360">
        <f t="shared" si="2"/>
        <v>0</v>
      </c>
      <c r="J9" s="156"/>
      <c r="K9" s="156"/>
      <c r="L9" s="156"/>
      <c r="M9" s="156"/>
      <c r="N9" s="362">
        <f t="shared" si="3"/>
        <v>0</v>
      </c>
      <c r="O9" s="156"/>
      <c r="P9" s="156"/>
      <c r="Q9" s="156"/>
      <c r="R9" s="156"/>
      <c r="S9" s="156"/>
      <c r="T9" s="366">
        <f t="shared" si="4"/>
        <v>0</v>
      </c>
      <c r="U9" s="156"/>
      <c r="V9" s="156"/>
      <c r="W9" s="156"/>
      <c r="X9" s="68">
        <f t="shared" si="5"/>
        <v>0</v>
      </c>
      <c r="Y9" s="156"/>
      <c r="Z9" s="156"/>
      <c r="AA9" s="156"/>
      <c r="AB9" s="212">
        <f t="shared" si="6"/>
        <v>0</v>
      </c>
      <c r="AC9" s="156"/>
      <c r="AD9" s="156"/>
      <c r="AE9" s="156"/>
      <c r="AF9" s="156"/>
      <c r="AG9" s="67">
        <f t="shared" si="7"/>
        <v>0</v>
      </c>
      <c r="AH9" s="156"/>
      <c r="AI9" s="156"/>
      <c r="AJ9" s="156"/>
      <c r="AK9" s="156"/>
      <c r="AL9" s="160">
        <f t="shared" si="8"/>
        <v>0</v>
      </c>
      <c r="AM9" s="364">
        <f t="shared" si="9"/>
        <v>0</v>
      </c>
    </row>
    <row r="10" ht="15.75" customHeight="1">
      <c r="A10" s="74">
        <v>3.0</v>
      </c>
      <c r="B10" s="118" t="s">
        <v>374</v>
      </c>
      <c r="C10" s="65" t="s">
        <v>45</v>
      </c>
      <c r="D10" s="62">
        <v>6.0</v>
      </c>
      <c r="E10" s="62">
        <v>6.0</v>
      </c>
      <c r="F10" s="305">
        <f t="shared" si="1"/>
        <v>6</v>
      </c>
      <c r="G10" s="62">
        <v>5.0</v>
      </c>
      <c r="H10" s="62">
        <v>4.0</v>
      </c>
      <c r="I10" s="360">
        <f t="shared" si="2"/>
        <v>4.5</v>
      </c>
      <c r="J10" s="156">
        <v>5.0</v>
      </c>
      <c r="K10" s="156">
        <v>4.0</v>
      </c>
      <c r="L10" s="156">
        <v>4.0</v>
      </c>
      <c r="M10" s="156">
        <v>4.0</v>
      </c>
      <c r="N10" s="362">
        <f t="shared" si="3"/>
        <v>4</v>
      </c>
      <c r="O10" s="156">
        <v>5.0</v>
      </c>
      <c r="P10" s="156">
        <v>6.0</v>
      </c>
      <c r="Q10" s="156">
        <v>6.0</v>
      </c>
      <c r="R10" s="156">
        <v>5.0</v>
      </c>
      <c r="S10" s="156">
        <v>5.0</v>
      </c>
      <c r="T10" s="366">
        <f t="shared" si="4"/>
        <v>5.333333333</v>
      </c>
      <c r="U10" s="156">
        <v>6.0</v>
      </c>
      <c r="V10" s="156">
        <v>4.0</v>
      </c>
      <c r="W10" s="156">
        <v>6.0</v>
      </c>
      <c r="X10" s="68">
        <f t="shared" si="5"/>
        <v>5.333333333</v>
      </c>
      <c r="Y10" s="156">
        <v>4.0</v>
      </c>
      <c r="Z10" s="156">
        <v>4.0</v>
      </c>
      <c r="AA10" s="156">
        <v>4.0</v>
      </c>
      <c r="AB10" s="212">
        <f t="shared" si="6"/>
        <v>4.333333333</v>
      </c>
      <c r="AC10" s="156">
        <v>6.0</v>
      </c>
      <c r="AD10" s="156">
        <v>6.0</v>
      </c>
      <c r="AE10" s="156">
        <v>5.0</v>
      </c>
      <c r="AF10" s="156">
        <v>5.0</v>
      </c>
      <c r="AG10" s="67">
        <f t="shared" si="7"/>
        <v>5.333333333</v>
      </c>
      <c r="AH10" s="156">
        <v>5.0</v>
      </c>
      <c r="AI10" s="156">
        <v>5.0</v>
      </c>
      <c r="AJ10" s="156">
        <v>4.0</v>
      </c>
      <c r="AK10" s="156">
        <v>4.0</v>
      </c>
      <c r="AL10" s="160">
        <f t="shared" si="8"/>
        <v>4.333333333</v>
      </c>
      <c r="AM10" s="364">
        <f t="shared" si="9"/>
        <v>5.133333333</v>
      </c>
    </row>
    <row r="11" ht="15.75" customHeight="1">
      <c r="A11" s="74">
        <v>4.0</v>
      </c>
      <c r="B11" s="118" t="s">
        <v>375</v>
      </c>
      <c r="C11" s="65" t="s">
        <v>45</v>
      </c>
      <c r="D11" s="62">
        <v>6.0</v>
      </c>
      <c r="E11" s="62">
        <v>6.0</v>
      </c>
      <c r="F11" s="305">
        <f t="shared" si="1"/>
        <v>6</v>
      </c>
      <c r="G11" s="62">
        <v>4.0</v>
      </c>
      <c r="H11" s="62">
        <v>4.0</v>
      </c>
      <c r="I11" s="360">
        <f t="shared" si="2"/>
        <v>4</v>
      </c>
      <c r="J11" s="156">
        <v>4.0</v>
      </c>
      <c r="K11" s="156">
        <v>4.0</v>
      </c>
      <c r="L11" s="156">
        <v>4.0</v>
      </c>
      <c r="M11" s="156">
        <v>4.0</v>
      </c>
      <c r="N11" s="362">
        <f t="shared" si="3"/>
        <v>4</v>
      </c>
      <c r="O11" s="156">
        <v>5.0</v>
      </c>
      <c r="P11" s="156">
        <v>6.0</v>
      </c>
      <c r="Q11" s="156">
        <v>6.0</v>
      </c>
      <c r="R11" s="156">
        <v>4.0</v>
      </c>
      <c r="S11" s="156">
        <v>4.0</v>
      </c>
      <c r="T11" s="366">
        <f t="shared" si="4"/>
        <v>4.666666667</v>
      </c>
      <c r="U11" s="156">
        <v>6.0</v>
      </c>
      <c r="V11" s="156">
        <v>4.0</v>
      </c>
      <c r="W11" s="156">
        <v>6.0</v>
      </c>
      <c r="X11" s="68">
        <f t="shared" si="5"/>
        <v>5.333333333</v>
      </c>
      <c r="Y11" s="156">
        <v>4.0</v>
      </c>
      <c r="Z11" s="156">
        <v>4.0</v>
      </c>
      <c r="AA11" s="156">
        <v>4.0</v>
      </c>
      <c r="AB11" s="212">
        <f t="shared" si="6"/>
        <v>4.333333333</v>
      </c>
      <c r="AC11" s="156">
        <v>6.0</v>
      </c>
      <c r="AD11" s="156">
        <v>6.0</v>
      </c>
      <c r="AE11" s="156">
        <v>5.0</v>
      </c>
      <c r="AF11" s="156">
        <v>5.0</v>
      </c>
      <c r="AG11" s="67">
        <f t="shared" si="7"/>
        <v>5.333333333</v>
      </c>
      <c r="AH11" s="156">
        <v>4.0</v>
      </c>
      <c r="AI11" s="156">
        <v>4.0</v>
      </c>
      <c r="AJ11" s="156">
        <v>4.0</v>
      </c>
      <c r="AK11" s="156">
        <v>4.0</v>
      </c>
      <c r="AL11" s="160">
        <f t="shared" si="8"/>
        <v>4</v>
      </c>
      <c r="AM11" s="364">
        <f t="shared" si="9"/>
        <v>4.9</v>
      </c>
    </row>
    <row r="12" ht="15.75" customHeight="1">
      <c r="A12" s="74">
        <v>5.0</v>
      </c>
      <c r="B12" s="118" t="s">
        <v>376</v>
      </c>
      <c r="C12" s="65" t="s">
        <v>44</v>
      </c>
      <c r="D12" s="62">
        <v>5.0</v>
      </c>
      <c r="E12" s="62">
        <v>5.0</v>
      </c>
      <c r="F12" s="305">
        <f t="shared" si="1"/>
        <v>5</v>
      </c>
      <c r="G12" s="62">
        <v>3.0</v>
      </c>
      <c r="H12" s="62">
        <v>3.0</v>
      </c>
      <c r="I12" s="360">
        <f t="shared" si="2"/>
        <v>3</v>
      </c>
      <c r="J12" s="156">
        <v>5.0</v>
      </c>
      <c r="K12" s="156">
        <v>3.0</v>
      </c>
      <c r="L12" s="156">
        <v>3.0</v>
      </c>
      <c r="M12" s="156">
        <v>3.0</v>
      </c>
      <c r="N12" s="362">
        <f t="shared" si="3"/>
        <v>3</v>
      </c>
      <c r="O12" s="156">
        <v>5.0</v>
      </c>
      <c r="P12" s="156">
        <v>6.0</v>
      </c>
      <c r="Q12" s="156">
        <v>6.0</v>
      </c>
      <c r="R12" s="156">
        <v>4.0</v>
      </c>
      <c r="S12" s="156">
        <v>4.0</v>
      </c>
      <c r="T12" s="366">
        <f t="shared" si="4"/>
        <v>4.666666667</v>
      </c>
      <c r="U12" s="156">
        <v>6.0</v>
      </c>
      <c r="V12" s="156">
        <v>4.0</v>
      </c>
      <c r="W12" s="156">
        <v>6.0</v>
      </c>
      <c r="X12" s="68">
        <f t="shared" si="5"/>
        <v>5.333333333</v>
      </c>
      <c r="Y12" s="156">
        <v>4.0</v>
      </c>
      <c r="Z12" s="156">
        <v>4.0</v>
      </c>
      <c r="AA12" s="156">
        <v>4.0</v>
      </c>
      <c r="AB12" s="212">
        <f t="shared" si="6"/>
        <v>4.333333333</v>
      </c>
      <c r="AC12" s="156">
        <v>6.0</v>
      </c>
      <c r="AD12" s="156">
        <v>6.0</v>
      </c>
      <c r="AE12" s="156">
        <v>5.0</v>
      </c>
      <c r="AF12" s="156">
        <v>6.0</v>
      </c>
      <c r="AG12" s="67">
        <f t="shared" si="7"/>
        <v>5.666666667</v>
      </c>
      <c r="AH12" s="156">
        <v>4.0</v>
      </c>
      <c r="AI12" s="156">
        <v>4.0</v>
      </c>
      <c r="AJ12" s="156">
        <v>4.0</v>
      </c>
      <c r="AK12" s="156">
        <v>4.0</v>
      </c>
      <c r="AL12" s="160">
        <f t="shared" si="8"/>
        <v>4</v>
      </c>
      <c r="AM12" s="364">
        <f t="shared" si="9"/>
        <v>4.8</v>
      </c>
    </row>
    <row r="13" ht="15.75" customHeight="1">
      <c r="A13" s="74">
        <v>6.0</v>
      </c>
      <c r="B13" s="118" t="s">
        <v>377</v>
      </c>
      <c r="C13" s="65" t="s">
        <v>44</v>
      </c>
      <c r="D13" s="62">
        <v>5.0</v>
      </c>
      <c r="E13" s="62">
        <v>5.0</v>
      </c>
      <c r="F13" s="305">
        <f t="shared" si="1"/>
        <v>5</v>
      </c>
      <c r="G13" s="62">
        <v>3.0</v>
      </c>
      <c r="H13" s="62">
        <v>3.0</v>
      </c>
      <c r="I13" s="360">
        <f t="shared" si="2"/>
        <v>3</v>
      </c>
      <c r="J13" s="156">
        <v>5.0</v>
      </c>
      <c r="K13" s="156">
        <v>3.0</v>
      </c>
      <c r="L13" s="156">
        <v>3.0</v>
      </c>
      <c r="M13" s="156">
        <v>3.0</v>
      </c>
      <c r="N13" s="362">
        <f t="shared" si="3"/>
        <v>3</v>
      </c>
      <c r="O13" s="156">
        <v>5.0</v>
      </c>
      <c r="P13" s="156">
        <v>6.0</v>
      </c>
      <c r="Q13" s="156">
        <v>6.0</v>
      </c>
      <c r="R13" s="156">
        <v>4.0</v>
      </c>
      <c r="S13" s="156">
        <v>4.0</v>
      </c>
      <c r="T13" s="366">
        <f t="shared" si="4"/>
        <v>4.666666667</v>
      </c>
      <c r="U13" s="156">
        <v>6.0</v>
      </c>
      <c r="V13" s="156">
        <v>4.0</v>
      </c>
      <c r="W13" s="156">
        <v>6.0</v>
      </c>
      <c r="X13" s="68">
        <f t="shared" si="5"/>
        <v>5.333333333</v>
      </c>
      <c r="Y13" s="156">
        <v>4.0</v>
      </c>
      <c r="Z13" s="156">
        <v>4.0</v>
      </c>
      <c r="AA13" s="156">
        <v>4.0</v>
      </c>
      <c r="AB13" s="212">
        <f t="shared" si="6"/>
        <v>4.333333333</v>
      </c>
      <c r="AC13" s="156">
        <v>6.0</v>
      </c>
      <c r="AD13" s="156">
        <v>6.0</v>
      </c>
      <c r="AE13" s="156">
        <v>5.0</v>
      </c>
      <c r="AF13" s="156">
        <v>5.0</v>
      </c>
      <c r="AG13" s="67">
        <f t="shared" si="7"/>
        <v>5.333333333</v>
      </c>
      <c r="AH13" s="156">
        <v>4.0</v>
      </c>
      <c r="AI13" s="156">
        <v>4.0</v>
      </c>
      <c r="AJ13" s="156">
        <v>4.0</v>
      </c>
      <c r="AK13" s="156">
        <v>4.0</v>
      </c>
      <c r="AL13" s="160">
        <f t="shared" si="8"/>
        <v>4</v>
      </c>
      <c r="AM13" s="364">
        <f t="shared" si="9"/>
        <v>4.8</v>
      </c>
    </row>
    <row r="14" ht="15.75" customHeight="1">
      <c r="A14" s="74">
        <v>7.0</v>
      </c>
      <c r="B14" s="118" t="s">
        <v>378</v>
      </c>
      <c r="C14" s="65" t="s">
        <v>45</v>
      </c>
      <c r="D14" s="62">
        <v>4.0</v>
      </c>
      <c r="E14" s="62">
        <v>4.0</v>
      </c>
      <c r="F14" s="305">
        <f t="shared" si="1"/>
        <v>4</v>
      </c>
      <c r="G14" s="62">
        <v>2.0</v>
      </c>
      <c r="H14" s="62">
        <v>2.0</v>
      </c>
      <c r="I14" s="360">
        <f t="shared" si="2"/>
        <v>2</v>
      </c>
      <c r="J14" s="156">
        <v>5.0</v>
      </c>
      <c r="K14" s="156">
        <v>3.0</v>
      </c>
      <c r="L14" s="156">
        <v>3.0</v>
      </c>
      <c r="M14" s="156">
        <v>3.0</v>
      </c>
      <c r="N14" s="362">
        <f t="shared" si="3"/>
        <v>3</v>
      </c>
      <c r="O14" s="156">
        <v>5.0</v>
      </c>
      <c r="P14" s="156">
        <v>5.0</v>
      </c>
      <c r="Q14" s="156">
        <v>5.0</v>
      </c>
      <c r="R14" s="156">
        <v>4.0</v>
      </c>
      <c r="S14" s="156">
        <v>4.0</v>
      </c>
      <c r="T14" s="366">
        <f t="shared" si="4"/>
        <v>4.333333333</v>
      </c>
      <c r="U14" s="156">
        <v>6.0</v>
      </c>
      <c r="V14" s="156">
        <v>5.0</v>
      </c>
      <c r="W14" s="156">
        <v>6.0</v>
      </c>
      <c r="X14" s="68">
        <f t="shared" si="5"/>
        <v>5.666666667</v>
      </c>
      <c r="Y14" s="156">
        <v>4.0</v>
      </c>
      <c r="Z14" s="156">
        <v>4.0</v>
      </c>
      <c r="AA14" s="156">
        <v>4.0</v>
      </c>
      <c r="AB14" s="212">
        <f t="shared" si="6"/>
        <v>4.416666667</v>
      </c>
      <c r="AC14" s="156">
        <v>6.0</v>
      </c>
      <c r="AD14" s="156">
        <v>6.0</v>
      </c>
      <c r="AE14" s="156">
        <v>5.0</v>
      </c>
      <c r="AF14" s="156">
        <v>6.0</v>
      </c>
      <c r="AG14" s="67">
        <f t="shared" si="7"/>
        <v>5.666666667</v>
      </c>
      <c r="AH14" s="156">
        <v>4.0</v>
      </c>
      <c r="AI14" s="156">
        <v>4.0</v>
      </c>
      <c r="AJ14" s="156">
        <v>4.0</v>
      </c>
      <c r="AK14" s="156">
        <v>4.0</v>
      </c>
      <c r="AL14" s="160">
        <f t="shared" si="8"/>
        <v>4</v>
      </c>
      <c r="AM14" s="364">
        <f t="shared" si="9"/>
        <v>4.6</v>
      </c>
    </row>
    <row r="15" ht="15.75" customHeight="1">
      <c r="A15" s="74">
        <v>8.0</v>
      </c>
      <c r="B15" s="118" t="s">
        <v>379</v>
      </c>
      <c r="C15" s="65" t="s">
        <v>44</v>
      </c>
      <c r="D15" s="62">
        <v>6.0</v>
      </c>
      <c r="E15" s="62">
        <v>6.0</v>
      </c>
      <c r="F15" s="305">
        <f t="shared" si="1"/>
        <v>6</v>
      </c>
      <c r="G15" s="62">
        <v>6.0</v>
      </c>
      <c r="H15" s="62">
        <v>5.0</v>
      </c>
      <c r="I15" s="360">
        <f t="shared" si="2"/>
        <v>5.5</v>
      </c>
      <c r="J15" s="156">
        <v>6.0</v>
      </c>
      <c r="K15" s="156">
        <v>5.0</v>
      </c>
      <c r="L15" s="156">
        <v>5.0</v>
      </c>
      <c r="M15" s="156">
        <v>5.0</v>
      </c>
      <c r="N15" s="362">
        <f t="shared" si="3"/>
        <v>5</v>
      </c>
      <c r="O15" s="156">
        <v>6.0</v>
      </c>
      <c r="P15" s="156">
        <v>6.0</v>
      </c>
      <c r="Q15" s="156">
        <v>6.0</v>
      </c>
      <c r="R15" s="156">
        <v>5.0</v>
      </c>
      <c r="S15" s="156">
        <v>5.0</v>
      </c>
      <c r="T15" s="366">
        <f t="shared" si="4"/>
        <v>5.333333333</v>
      </c>
      <c r="U15" s="156">
        <v>6.0</v>
      </c>
      <c r="V15" s="156">
        <v>5.0</v>
      </c>
      <c r="W15" s="156">
        <v>6.0</v>
      </c>
      <c r="X15" s="68">
        <f t="shared" si="5"/>
        <v>5.666666667</v>
      </c>
      <c r="Y15" s="156">
        <v>6.0</v>
      </c>
      <c r="Z15" s="156">
        <v>6.0</v>
      </c>
      <c r="AA15" s="156">
        <v>6.0</v>
      </c>
      <c r="AB15" s="212">
        <f t="shared" si="6"/>
        <v>5.916666667</v>
      </c>
      <c r="AC15" s="156">
        <v>6.0</v>
      </c>
      <c r="AD15" s="156">
        <v>6.0</v>
      </c>
      <c r="AE15" s="156">
        <v>5.0</v>
      </c>
      <c r="AF15" s="156">
        <v>6.0</v>
      </c>
      <c r="AG15" s="67">
        <f t="shared" si="7"/>
        <v>5.666666667</v>
      </c>
      <c r="AH15" s="156">
        <v>6.0</v>
      </c>
      <c r="AI15" s="156">
        <v>6.0</v>
      </c>
      <c r="AJ15" s="156">
        <v>5.0</v>
      </c>
      <c r="AK15" s="156">
        <v>5.0</v>
      </c>
      <c r="AL15" s="160">
        <f t="shared" si="8"/>
        <v>5.333333333</v>
      </c>
      <c r="AM15" s="364">
        <f t="shared" si="9"/>
        <v>5.733333333</v>
      </c>
    </row>
    <row r="16" ht="15.75" customHeight="1">
      <c r="A16" s="74">
        <v>9.0</v>
      </c>
      <c r="B16" s="118" t="s">
        <v>380</v>
      </c>
      <c r="C16" s="65" t="s">
        <v>44</v>
      </c>
      <c r="D16" s="62">
        <v>5.0</v>
      </c>
      <c r="E16" s="62">
        <v>5.0</v>
      </c>
      <c r="F16" s="305">
        <f t="shared" si="1"/>
        <v>5</v>
      </c>
      <c r="G16" s="62">
        <v>4.0</v>
      </c>
      <c r="H16" s="62">
        <v>4.0</v>
      </c>
      <c r="I16" s="360">
        <f t="shared" si="2"/>
        <v>4</v>
      </c>
      <c r="J16" s="156">
        <v>5.0</v>
      </c>
      <c r="K16" s="156">
        <v>4.0</v>
      </c>
      <c r="L16" s="156">
        <v>4.0</v>
      </c>
      <c r="M16" s="156">
        <v>4.0</v>
      </c>
      <c r="N16" s="362">
        <f t="shared" si="3"/>
        <v>4</v>
      </c>
      <c r="O16" s="156">
        <v>5.0</v>
      </c>
      <c r="P16" s="156">
        <v>5.0</v>
      </c>
      <c r="Q16" s="156">
        <v>5.0</v>
      </c>
      <c r="R16" s="156">
        <v>4.0</v>
      </c>
      <c r="S16" s="156">
        <v>4.0</v>
      </c>
      <c r="T16" s="366">
        <f t="shared" si="4"/>
        <v>4.333333333</v>
      </c>
      <c r="U16" s="156">
        <v>6.0</v>
      </c>
      <c r="V16" s="156">
        <v>4.0</v>
      </c>
      <c r="W16" s="156">
        <v>6.0</v>
      </c>
      <c r="X16" s="68">
        <f t="shared" si="5"/>
        <v>5.333333333</v>
      </c>
      <c r="Y16" s="156">
        <v>4.0</v>
      </c>
      <c r="Z16" s="156">
        <v>4.0</v>
      </c>
      <c r="AA16" s="156">
        <v>4.0</v>
      </c>
      <c r="AB16" s="212">
        <f t="shared" si="6"/>
        <v>4.333333333</v>
      </c>
      <c r="AC16" s="156">
        <v>6.0</v>
      </c>
      <c r="AD16" s="156">
        <v>6.0</v>
      </c>
      <c r="AE16" s="156">
        <v>5.0</v>
      </c>
      <c r="AF16" s="156">
        <v>5.0</v>
      </c>
      <c r="AG16" s="67">
        <f t="shared" si="7"/>
        <v>5.333333333</v>
      </c>
      <c r="AH16" s="156">
        <v>5.0</v>
      </c>
      <c r="AI16" s="156">
        <v>5.0</v>
      </c>
      <c r="AJ16" s="156">
        <v>5.0</v>
      </c>
      <c r="AK16" s="156">
        <v>5.0</v>
      </c>
      <c r="AL16" s="160">
        <f t="shared" si="8"/>
        <v>5</v>
      </c>
      <c r="AM16" s="364">
        <f t="shared" si="9"/>
        <v>4.9</v>
      </c>
    </row>
    <row r="17" ht="15.75" customHeight="1">
      <c r="A17" s="74">
        <v>10.0</v>
      </c>
      <c r="B17" s="118" t="s">
        <v>381</v>
      </c>
      <c r="C17" s="65" t="s">
        <v>44</v>
      </c>
      <c r="D17" s="62">
        <v>6.0</v>
      </c>
      <c r="E17" s="62">
        <v>6.0</v>
      </c>
      <c r="F17" s="305">
        <f t="shared" si="1"/>
        <v>6</v>
      </c>
      <c r="G17" s="62">
        <v>6.0</v>
      </c>
      <c r="H17" s="62">
        <v>6.0</v>
      </c>
      <c r="I17" s="360">
        <f t="shared" si="2"/>
        <v>6</v>
      </c>
      <c r="J17" s="156">
        <v>6.0</v>
      </c>
      <c r="K17" s="156">
        <v>5.0</v>
      </c>
      <c r="L17" s="156">
        <v>5.0</v>
      </c>
      <c r="M17" s="156">
        <v>5.0</v>
      </c>
      <c r="N17" s="362">
        <f t="shared" si="3"/>
        <v>5</v>
      </c>
      <c r="O17" s="156">
        <v>6.0</v>
      </c>
      <c r="P17" s="156">
        <v>6.0</v>
      </c>
      <c r="Q17" s="156">
        <v>6.0</v>
      </c>
      <c r="R17" s="156">
        <v>5.0</v>
      </c>
      <c r="S17" s="156">
        <v>5.0</v>
      </c>
      <c r="T17" s="366">
        <f t="shared" si="4"/>
        <v>5.333333333</v>
      </c>
      <c r="U17" s="156">
        <v>6.0</v>
      </c>
      <c r="V17" s="156">
        <v>5.0</v>
      </c>
      <c r="W17" s="156">
        <v>6.0</v>
      </c>
      <c r="X17" s="68">
        <f t="shared" si="5"/>
        <v>5.666666667</v>
      </c>
      <c r="Y17" s="156">
        <v>6.0</v>
      </c>
      <c r="Z17" s="156">
        <v>6.0</v>
      </c>
      <c r="AA17" s="156">
        <v>6.0</v>
      </c>
      <c r="AB17" s="212">
        <f t="shared" si="6"/>
        <v>5.916666667</v>
      </c>
      <c r="AC17" s="156">
        <v>6.0</v>
      </c>
      <c r="AD17" s="156">
        <v>6.0</v>
      </c>
      <c r="AE17" s="156">
        <v>5.0</v>
      </c>
      <c r="AF17" s="156">
        <v>6.0</v>
      </c>
      <c r="AG17" s="67">
        <f t="shared" si="7"/>
        <v>5.666666667</v>
      </c>
      <c r="AH17" s="156">
        <v>6.0</v>
      </c>
      <c r="AI17" s="156">
        <v>6.0</v>
      </c>
      <c r="AJ17" s="156">
        <v>6.0</v>
      </c>
      <c r="AK17" s="156">
        <v>6.0</v>
      </c>
      <c r="AL17" s="160">
        <f t="shared" si="8"/>
        <v>6</v>
      </c>
      <c r="AM17" s="364">
        <f t="shared" si="9"/>
        <v>5.8</v>
      </c>
    </row>
    <row r="18" ht="15.75" customHeight="1">
      <c r="A18" s="74">
        <v>11.0</v>
      </c>
      <c r="B18" s="118" t="s">
        <v>382</v>
      </c>
      <c r="C18" s="65" t="s">
        <v>44</v>
      </c>
      <c r="D18" s="62">
        <v>5.0</v>
      </c>
      <c r="E18" s="62">
        <v>5.0</v>
      </c>
      <c r="F18" s="305">
        <f t="shared" si="1"/>
        <v>5</v>
      </c>
      <c r="G18" s="62">
        <v>4.0</v>
      </c>
      <c r="H18" s="62">
        <v>4.0</v>
      </c>
      <c r="I18" s="360">
        <f t="shared" si="2"/>
        <v>4</v>
      </c>
      <c r="J18" s="156">
        <v>5.0</v>
      </c>
      <c r="K18" s="156">
        <v>4.0</v>
      </c>
      <c r="L18" s="156">
        <v>4.0</v>
      </c>
      <c r="M18" s="156">
        <v>4.0</v>
      </c>
      <c r="N18" s="362">
        <f t="shared" si="3"/>
        <v>4</v>
      </c>
      <c r="O18" s="156">
        <v>5.0</v>
      </c>
      <c r="P18" s="156">
        <v>5.0</v>
      </c>
      <c r="Q18" s="156">
        <v>5.0</v>
      </c>
      <c r="R18" s="156">
        <v>4.0</v>
      </c>
      <c r="S18" s="156">
        <v>4.0</v>
      </c>
      <c r="T18" s="366">
        <f t="shared" si="4"/>
        <v>4.333333333</v>
      </c>
      <c r="U18" s="156">
        <v>6.0</v>
      </c>
      <c r="V18" s="156">
        <v>4.0</v>
      </c>
      <c r="W18" s="156">
        <v>6.0</v>
      </c>
      <c r="X18" s="68">
        <f t="shared" si="5"/>
        <v>5.333333333</v>
      </c>
      <c r="Y18" s="156">
        <v>4.0</v>
      </c>
      <c r="Z18" s="156">
        <v>4.0</v>
      </c>
      <c r="AA18" s="156">
        <v>4.0</v>
      </c>
      <c r="AB18" s="212">
        <f t="shared" si="6"/>
        <v>4.333333333</v>
      </c>
      <c r="AC18" s="156">
        <v>6.0</v>
      </c>
      <c r="AD18" s="156">
        <v>6.0</v>
      </c>
      <c r="AE18" s="156">
        <v>5.0</v>
      </c>
      <c r="AF18" s="156">
        <v>6.0</v>
      </c>
      <c r="AG18" s="67">
        <f t="shared" si="7"/>
        <v>5.666666667</v>
      </c>
      <c r="AH18" s="156">
        <v>5.0</v>
      </c>
      <c r="AI18" s="156">
        <v>5.0</v>
      </c>
      <c r="AJ18" s="156">
        <v>5.0</v>
      </c>
      <c r="AK18" s="156">
        <v>5.0</v>
      </c>
      <c r="AL18" s="160">
        <f t="shared" si="8"/>
        <v>5</v>
      </c>
      <c r="AM18" s="364">
        <f t="shared" si="9"/>
        <v>4.9</v>
      </c>
    </row>
    <row r="19" ht="15.75" customHeight="1">
      <c r="A19" s="74">
        <v>12.0</v>
      </c>
      <c r="B19" s="118" t="s">
        <v>383</v>
      </c>
      <c r="C19" s="65" t="s">
        <v>44</v>
      </c>
      <c r="D19" s="62">
        <v>4.0</v>
      </c>
      <c r="E19" s="62">
        <v>4.0</v>
      </c>
      <c r="F19" s="305">
        <f t="shared" si="1"/>
        <v>4</v>
      </c>
      <c r="G19" s="62">
        <v>2.0</v>
      </c>
      <c r="H19" s="62">
        <v>2.0</v>
      </c>
      <c r="I19" s="360">
        <f t="shared" si="2"/>
        <v>2</v>
      </c>
      <c r="J19" s="156">
        <v>4.0</v>
      </c>
      <c r="K19" s="156">
        <v>2.0</v>
      </c>
      <c r="L19" s="156">
        <v>2.0</v>
      </c>
      <c r="M19" s="156">
        <v>2.0</v>
      </c>
      <c r="N19" s="362">
        <f t="shared" si="3"/>
        <v>2</v>
      </c>
      <c r="O19" s="156">
        <v>4.0</v>
      </c>
      <c r="P19" s="156">
        <v>4.0</v>
      </c>
      <c r="Q19" s="156">
        <v>4.0</v>
      </c>
      <c r="R19" s="156">
        <v>3.0</v>
      </c>
      <c r="S19" s="156">
        <v>3.0</v>
      </c>
      <c r="T19" s="366">
        <f t="shared" si="4"/>
        <v>3.333333333</v>
      </c>
      <c r="U19" s="156">
        <v>6.0</v>
      </c>
      <c r="V19" s="156">
        <v>5.0</v>
      </c>
      <c r="W19" s="156">
        <v>6.0</v>
      </c>
      <c r="X19" s="68">
        <f t="shared" si="5"/>
        <v>5.666666667</v>
      </c>
      <c r="Y19" s="156">
        <v>4.0</v>
      </c>
      <c r="Z19" s="156">
        <v>4.0</v>
      </c>
      <c r="AA19" s="156">
        <v>4.0</v>
      </c>
      <c r="AB19" s="212">
        <f t="shared" si="6"/>
        <v>4.416666667</v>
      </c>
      <c r="AC19" s="156">
        <v>6.0</v>
      </c>
      <c r="AD19" s="156">
        <v>6.0</v>
      </c>
      <c r="AE19" s="156">
        <v>5.0</v>
      </c>
      <c r="AF19" s="156">
        <v>6.0</v>
      </c>
      <c r="AG19" s="67">
        <f t="shared" si="7"/>
        <v>5.666666667</v>
      </c>
      <c r="AH19" s="156">
        <v>3.0</v>
      </c>
      <c r="AI19" s="156">
        <v>3.0</v>
      </c>
      <c r="AJ19" s="156">
        <v>3.0</v>
      </c>
      <c r="AK19" s="156">
        <v>3.0</v>
      </c>
      <c r="AL19" s="160">
        <f t="shared" si="8"/>
        <v>3</v>
      </c>
      <c r="AM19" s="364">
        <f t="shared" si="9"/>
        <v>3.9</v>
      </c>
    </row>
    <row r="20" ht="15.75" customHeight="1">
      <c r="A20" s="74">
        <v>13.0</v>
      </c>
      <c r="B20" s="118" t="s">
        <v>384</v>
      </c>
      <c r="C20" s="65" t="s">
        <v>44</v>
      </c>
      <c r="D20" s="62">
        <v>4.0</v>
      </c>
      <c r="E20" s="62">
        <v>4.0</v>
      </c>
      <c r="F20" s="305">
        <f t="shared" si="1"/>
        <v>4</v>
      </c>
      <c r="G20" s="62">
        <v>2.0</v>
      </c>
      <c r="H20" s="62">
        <v>2.0</v>
      </c>
      <c r="I20" s="360">
        <f t="shared" si="2"/>
        <v>2</v>
      </c>
      <c r="J20" s="156">
        <v>4.0</v>
      </c>
      <c r="K20" s="156">
        <v>2.0</v>
      </c>
      <c r="L20" s="156">
        <v>2.0</v>
      </c>
      <c r="M20" s="156">
        <v>2.0</v>
      </c>
      <c r="N20" s="362">
        <f t="shared" si="3"/>
        <v>2</v>
      </c>
      <c r="O20" s="156">
        <v>4.0</v>
      </c>
      <c r="P20" s="156">
        <v>4.0</v>
      </c>
      <c r="Q20" s="156">
        <v>4.0</v>
      </c>
      <c r="R20" s="156">
        <v>3.0</v>
      </c>
      <c r="S20" s="156">
        <v>3.0</v>
      </c>
      <c r="T20" s="366">
        <f t="shared" si="4"/>
        <v>3.333333333</v>
      </c>
      <c r="U20" s="156">
        <v>6.0</v>
      </c>
      <c r="V20" s="156">
        <v>4.0</v>
      </c>
      <c r="W20" s="156">
        <v>6.0</v>
      </c>
      <c r="X20" s="68">
        <f t="shared" si="5"/>
        <v>5.333333333</v>
      </c>
      <c r="Y20" s="156">
        <v>4.0</v>
      </c>
      <c r="Z20" s="156">
        <v>4.0</v>
      </c>
      <c r="AA20" s="156">
        <v>4.0</v>
      </c>
      <c r="AB20" s="212">
        <f t="shared" si="6"/>
        <v>4.333333333</v>
      </c>
      <c r="AC20" s="156">
        <v>6.0</v>
      </c>
      <c r="AD20" s="156">
        <v>6.0</v>
      </c>
      <c r="AE20" s="156">
        <v>5.0</v>
      </c>
      <c r="AF20" s="156">
        <v>6.0</v>
      </c>
      <c r="AG20" s="67">
        <f t="shared" si="7"/>
        <v>5.666666667</v>
      </c>
      <c r="AH20" s="156">
        <v>5.0</v>
      </c>
      <c r="AI20" s="156">
        <v>5.0</v>
      </c>
      <c r="AJ20" s="156">
        <v>5.0</v>
      </c>
      <c r="AK20" s="156">
        <v>5.0</v>
      </c>
      <c r="AL20" s="160">
        <f t="shared" si="8"/>
        <v>5</v>
      </c>
      <c r="AM20" s="364">
        <f t="shared" si="9"/>
        <v>4.3</v>
      </c>
    </row>
    <row r="21" ht="15.75" customHeight="1">
      <c r="A21" s="74">
        <v>14.0</v>
      </c>
      <c r="B21" s="118" t="s">
        <v>385</v>
      </c>
      <c r="C21" s="65" t="s">
        <v>44</v>
      </c>
      <c r="D21" s="62">
        <v>5.0</v>
      </c>
      <c r="E21" s="62">
        <v>5.0</v>
      </c>
      <c r="F21" s="305">
        <f t="shared" si="1"/>
        <v>5</v>
      </c>
      <c r="G21" s="62">
        <v>3.0</v>
      </c>
      <c r="H21" s="62">
        <v>2.0</v>
      </c>
      <c r="I21" s="360">
        <f t="shared" si="2"/>
        <v>2.5</v>
      </c>
      <c r="J21" s="156">
        <v>5.0</v>
      </c>
      <c r="K21" s="156">
        <v>4.0</v>
      </c>
      <c r="L21" s="156">
        <v>4.0</v>
      </c>
      <c r="M21" s="156">
        <v>4.0</v>
      </c>
      <c r="N21" s="362">
        <f t="shared" si="3"/>
        <v>4</v>
      </c>
      <c r="O21" s="156">
        <v>5.0</v>
      </c>
      <c r="P21" s="156">
        <v>5.0</v>
      </c>
      <c r="Q21" s="156">
        <v>5.0</v>
      </c>
      <c r="R21" s="156">
        <v>5.0</v>
      </c>
      <c r="S21" s="156">
        <v>5.0</v>
      </c>
      <c r="T21" s="366">
        <f t="shared" si="4"/>
        <v>5</v>
      </c>
      <c r="U21" s="156">
        <v>6.0</v>
      </c>
      <c r="V21" s="156">
        <v>5.0</v>
      </c>
      <c r="W21" s="156">
        <v>6.0</v>
      </c>
      <c r="X21" s="68">
        <f t="shared" si="5"/>
        <v>5.666666667</v>
      </c>
      <c r="Y21" s="156">
        <v>4.0</v>
      </c>
      <c r="Z21" s="156">
        <v>4.0</v>
      </c>
      <c r="AA21" s="156">
        <v>4.0</v>
      </c>
      <c r="AB21" s="212">
        <f t="shared" si="6"/>
        <v>4.416666667</v>
      </c>
      <c r="AC21" s="156">
        <v>6.0</v>
      </c>
      <c r="AD21" s="156">
        <v>6.0</v>
      </c>
      <c r="AE21" s="156">
        <v>5.0</v>
      </c>
      <c r="AF21" s="156">
        <v>6.0</v>
      </c>
      <c r="AG21" s="67">
        <f t="shared" si="7"/>
        <v>5.666666667</v>
      </c>
      <c r="AH21" s="156">
        <v>5.0</v>
      </c>
      <c r="AI21" s="156">
        <v>5.0</v>
      </c>
      <c r="AJ21" s="156">
        <v>5.0</v>
      </c>
      <c r="AK21" s="156">
        <v>5.0</v>
      </c>
      <c r="AL21" s="160">
        <f t="shared" si="8"/>
        <v>5</v>
      </c>
      <c r="AM21" s="364">
        <f t="shared" si="9"/>
        <v>5</v>
      </c>
    </row>
    <row r="22" ht="15.75" customHeight="1">
      <c r="A22" s="74">
        <v>15.0</v>
      </c>
      <c r="B22" s="118" t="s">
        <v>386</v>
      </c>
      <c r="C22" s="65" t="s">
        <v>44</v>
      </c>
      <c r="D22" s="62">
        <v>4.0</v>
      </c>
      <c r="E22" s="62">
        <v>4.0</v>
      </c>
      <c r="F22" s="305">
        <f t="shared" si="1"/>
        <v>4</v>
      </c>
      <c r="G22" s="62">
        <v>2.0</v>
      </c>
      <c r="H22" s="62">
        <v>2.0</v>
      </c>
      <c r="I22" s="360">
        <f t="shared" si="2"/>
        <v>2</v>
      </c>
      <c r="J22" s="156">
        <v>4.0</v>
      </c>
      <c r="K22" s="156">
        <v>3.0</v>
      </c>
      <c r="L22" s="156">
        <v>3.0</v>
      </c>
      <c r="M22" s="156">
        <v>3.0</v>
      </c>
      <c r="N22" s="362">
        <f t="shared" si="3"/>
        <v>3</v>
      </c>
      <c r="O22" s="156">
        <v>4.0</v>
      </c>
      <c r="P22" s="156">
        <v>5.0</v>
      </c>
      <c r="Q22" s="156">
        <v>5.0</v>
      </c>
      <c r="R22" s="156">
        <v>4.0</v>
      </c>
      <c r="S22" s="156">
        <v>4.0</v>
      </c>
      <c r="T22" s="366">
        <f t="shared" si="4"/>
        <v>4.333333333</v>
      </c>
      <c r="U22" s="156">
        <v>6.0</v>
      </c>
      <c r="V22" s="156">
        <v>4.0</v>
      </c>
      <c r="W22" s="156">
        <v>6.0</v>
      </c>
      <c r="X22" s="68">
        <f t="shared" si="5"/>
        <v>5.333333333</v>
      </c>
      <c r="Y22" s="156">
        <v>4.0</v>
      </c>
      <c r="Z22" s="156">
        <v>4.0</v>
      </c>
      <c r="AA22" s="156">
        <v>4.0</v>
      </c>
      <c r="AB22" s="212">
        <f t="shared" si="6"/>
        <v>4.333333333</v>
      </c>
      <c r="AC22" s="156">
        <v>6.0</v>
      </c>
      <c r="AD22" s="156">
        <v>6.0</v>
      </c>
      <c r="AE22" s="156">
        <v>5.0</v>
      </c>
      <c r="AF22" s="156">
        <v>6.0</v>
      </c>
      <c r="AG22" s="67">
        <f t="shared" si="7"/>
        <v>5.666666667</v>
      </c>
      <c r="AH22" s="156">
        <v>5.0</v>
      </c>
      <c r="AI22" s="156">
        <v>5.0</v>
      </c>
      <c r="AJ22" s="156">
        <v>5.0</v>
      </c>
      <c r="AK22" s="156">
        <v>5.0</v>
      </c>
      <c r="AL22" s="160">
        <f t="shared" si="8"/>
        <v>5</v>
      </c>
      <c r="AM22" s="364">
        <f t="shared" si="9"/>
        <v>4.7</v>
      </c>
    </row>
    <row r="23" ht="15.75" customHeight="1">
      <c r="A23" s="74">
        <v>16.0</v>
      </c>
      <c r="B23" s="118" t="s">
        <v>387</v>
      </c>
      <c r="C23" s="65" t="s">
        <v>44</v>
      </c>
      <c r="D23" s="62">
        <v>6.0</v>
      </c>
      <c r="E23" s="62">
        <v>6.0</v>
      </c>
      <c r="F23" s="305">
        <f t="shared" si="1"/>
        <v>6</v>
      </c>
      <c r="G23" s="62">
        <v>5.0</v>
      </c>
      <c r="H23" s="62">
        <v>4.0</v>
      </c>
      <c r="I23" s="360">
        <f t="shared" si="2"/>
        <v>4.5</v>
      </c>
      <c r="J23" s="156">
        <v>6.0</v>
      </c>
      <c r="K23" s="156">
        <v>5.0</v>
      </c>
      <c r="L23" s="156">
        <v>5.0</v>
      </c>
      <c r="M23" s="156">
        <v>5.0</v>
      </c>
      <c r="N23" s="362">
        <f t="shared" si="3"/>
        <v>5</v>
      </c>
      <c r="O23" s="156">
        <v>6.0</v>
      </c>
      <c r="P23" s="156">
        <v>6.0</v>
      </c>
      <c r="Q23" s="156">
        <v>6.0</v>
      </c>
      <c r="R23" s="156">
        <v>5.0</v>
      </c>
      <c r="S23" s="156">
        <v>5.0</v>
      </c>
      <c r="T23" s="366">
        <f t="shared" si="4"/>
        <v>5.333333333</v>
      </c>
      <c r="U23" s="156">
        <v>6.0</v>
      </c>
      <c r="V23" s="156">
        <v>5.0</v>
      </c>
      <c r="W23" s="156">
        <v>6.0</v>
      </c>
      <c r="X23" s="68">
        <f t="shared" si="5"/>
        <v>5.666666667</v>
      </c>
      <c r="Y23" s="156">
        <v>5.0</v>
      </c>
      <c r="Z23" s="156">
        <v>5.0</v>
      </c>
      <c r="AA23" s="156">
        <v>5.0</v>
      </c>
      <c r="AB23" s="212">
        <f t="shared" si="6"/>
        <v>5.166666667</v>
      </c>
      <c r="AC23" s="156">
        <v>6.0</v>
      </c>
      <c r="AD23" s="156">
        <v>6.0</v>
      </c>
      <c r="AE23" s="156">
        <v>5.0</v>
      </c>
      <c r="AF23" s="156">
        <v>6.0</v>
      </c>
      <c r="AG23" s="67">
        <f t="shared" si="7"/>
        <v>5.666666667</v>
      </c>
      <c r="AH23" s="156">
        <v>5.0</v>
      </c>
      <c r="AI23" s="156">
        <v>5.0</v>
      </c>
      <c r="AJ23" s="156">
        <v>5.0</v>
      </c>
      <c r="AK23" s="156">
        <v>5.0</v>
      </c>
      <c r="AL23" s="160">
        <f t="shared" si="8"/>
        <v>5</v>
      </c>
      <c r="AM23" s="364">
        <f t="shared" si="9"/>
        <v>5.5</v>
      </c>
    </row>
    <row r="24" ht="15.75" customHeight="1">
      <c r="A24" s="74">
        <v>17.0</v>
      </c>
      <c r="B24" s="118" t="s">
        <v>388</v>
      </c>
      <c r="C24" s="65" t="s">
        <v>45</v>
      </c>
      <c r="D24" s="62">
        <v>6.0</v>
      </c>
      <c r="E24" s="62">
        <v>6.0</v>
      </c>
      <c r="F24" s="305">
        <f t="shared" si="1"/>
        <v>6</v>
      </c>
      <c r="G24" s="62">
        <v>4.0</v>
      </c>
      <c r="H24" s="62">
        <v>3.0</v>
      </c>
      <c r="I24" s="360">
        <f t="shared" si="2"/>
        <v>3.5</v>
      </c>
      <c r="J24" s="156">
        <v>6.0</v>
      </c>
      <c r="K24" s="156">
        <v>4.0</v>
      </c>
      <c r="L24" s="156">
        <v>4.0</v>
      </c>
      <c r="M24" s="156">
        <v>4.0</v>
      </c>
      <c r="N24" s="362">
        <f t="shared" si="3"/>
        <v>4</v>
      </c>
      <c r="O24" s="156">
        <v>5.0</v>
      </c>
      <c r="P24" s="156">
        <v>5.0</v>
      </c>
      <c r="Q24" s="156">
        <v>5.0</v>
      </c>
      <c r="R24" s="156">
        <v>4.0</v>
      </c>
      <c r="S24" s="156">
        <v>4.0</v>
      </c>
      <c r="T24" s="366">
        <f t="shared" si="4"/>
        <v>4.333333333</v>
      </c>
      <c r="U24" s="156">
        <v>6.0</v>
      </c>
      <c r="V24" s="156">
        <v>4.0</v>
      </c>
      <c r="W24" s="156">
        <v>6.0</v>
      </c>
      <c r="X24" s="68">
        <f t="shared" si="5"/>
        <v>5.333333333</v>
      </c>
      <c r="Y24" s="156">
        <v>4.0</v>
      </c>
      <c r="Z24" s="156">
        <v>4.0</v>
      </c>
      <c r="AA24" s="156">
        <v>4.0</v>
      </c>
      <c r="AB24" s="212">
        <f t="shared" si="6"/>
        <v>4.333333333</v>
      </c>
      <c r="AC24" s="156">
        <v>6.0</v>
      </c>
      <c r="AD24" s="156">
        <v>6.0</v>
      </c>
      <c r="AE24" s="156">
        <v>5.0</v>
      </c>
      <c r="AF24" s="156">
        <v>6.0</v>
      </c>
      <c r="AG24" s="67">
        <f t="shared" si="7"/>
        <v>5.666666667</v>
      </c>
      <c r="AH24" s="156">
        <v>5.0</v>
      </c>
      <c r="AI24" s="156">
        <v>5.0</v>
      </c>
      <c r="AJ24" s="156">
        <v>5.0</v>
      </c>
      <c r="AK24" s="156">
        <v>5.0</v>
      </c>
      <c r="AL24" s="160">
        <f t="shared" si="8"/>
        <v>5</v>
      </c>
      <c r="AM24" s="364">
        <f t="shared" si="9"/>
        <v>4.9</v>
      </c>
    </row>
    <row r="25" ht="15.75" customHeight="1">
      <c r="A25" s="74">
        <v>18.0</v>
      </c>
      <c r="B25" s="118" t="s">
        <v>389</v>
      </c>
      <c r="C25" s="65" t="s">
        <v>45</v>
      </c>
      <c r="D25" s="62">
        <v>5.0</v>
      </c>
      <c r="E25" s="62">
        <v>5.0</v>
      </c>
      <c r="F25" s="305">
        <f t="shared" si="1"/>
        <v>5</v>
      </c>
      <c r="G25" s="62">
        <v>3.0</v>
      </c>
      <c r="H25" s="62">
        <v>3.0</v>
      </c>
      <c r="I25" s="360">
        <f t="shared" si="2"/>
        <v>3</v>
      </c>
      <c r="J25" s="156">
        <v>5.0</v>
      </c>
      <c r="K25" s="156">
        <v>3.0</v>
      </c>
      <c r="L25" s="156">
        <v>3.0</v>
      </c>
      <c r="M25" s="156">
        <v>3.0</v>
      </c>
      <c r="N25" s="362">
        <f t="shared" si="3"/>
        <v>3</v>
      </c>
      <c r="O25" s="156">
        <v>4.0</v>
      </c>
      <c r="P25" s="156">
        <v>5.0</v>
      </c>
      <c r="Q25" s="156">
        <v>5.0</v>
      </c>
      <c r="R25" s="156">
        <v>4.0</v>
      </c>
      <c r="S25" s="156">
        <v>4.0</v>
      </c>
      <c r="T25" s="366">
        <f t="shared" si="4"/>
        <v>4.333333333</v>
      </c>
      <c r="U25" s="156">
        <v>6.0</v>
      </c>
      <c r="V25" s="156">
        <v>4.0</v>
      </c>
      <c r="W25" s="156">
        <v>6.0</v>
      </c>
      <c r="X25" s="68">
        <f t="shared" si="5"/>
        <v>5.333333333</v>
      </c>
      <c r="Y25" s="156">
        <v>4.0</v>
      </c>
      <c r="Z25" s="156">
        <v>4.0</v>
      </c>
      <c r="AA25" s="156">
        <v>4.0</v>
      </c>
      <c r="AB25" s="212">
        <f t="shared" si="6"/>
        <v>4.333333333</v>
      </c>
      <c r="AC25" s="156">
        <v>6.0</v>
      </c>
      <c r="AD25" s="156">
        <v>6.0</v>
      </c>
      <c r="AE25" s="156">
        <v>5.0</v>
      </c>
      <c r="AF25" s="156">
        <v>6.0</v>
      </c>
      <c r="AG25" s="67">
        <f t="shared" si="7"/>
        <v>5.666666667</v>
      </c>
      <c r="AH25" s="156">
        <v>5.0</v>
      </c>
      <c r="AI25" s="156">
        <v>5.0</v>
      </c>
      <c r="AJ25" s="156">
        <v>5.0</v>
      </c>
      <c r="AK25" s="156">
        <v>5.0</v>
      </c>
      <c r="AL25" s="160">
        <f t="shared" si="8"/>
        <v>5</v>
      </c>
      <c r="AM25" s="364">
        <f t="shared" si="9"/>
        <v>4.7</v>
      </c>
    </row>
    <row r="26" ht="15.75" customHeight="1">
      <c r="A26" s="74">
        <v>19.0</v>
      </c>
      <c r="B26" s="118" t="s">
        <v>390</v>
      </c>
      <c r="C26" s="65" t="s">
        <v>45</v>
      </c>
      <c r="D26" s="62">
        <v>3.0</v>
      </c>
      <c r="E26" s="62">
        <v>3.0</v>
      </c>
      <c r="F26" s="305">
        <v>0.0</v>
      </c>
      <c r="G26" s="62">
        <v>1.0</v>
      </c>
      <c r="H26" s="62">
        <v>1.0</v>
      </c>
      <c r="I26" s="360">
        <f t="shared" si="2"/>
        <v>1</v>
      </c>
      <c r="J26" s="156">
        <v>4.0</v>
      </c>
      <c r="K26" s="156">
        <v>2.0</v>
      </c>
      <c r="L26" s="156">
        <v>2.0</v>
      </c>
      <c r="M26" s="156">
        <v>2.0</v>
      </c>
      <c r="N26" s="362">
        <f t="shared" si="3"/>
        <v>2</v>
      </c>
      <c r="O26" s="156">
        <v>4.0</v>
      </c>
      <c r="P26" s="156">
        <v>4.0</v>
      </c>
      <c r="Q26" s="156">
        <v>4.0</v>
      </c>
      <c r="R26" s="156">
        <v>3.0</v>
      </c>
      <c r="S26" s="156">
        <v>3.0</v>
      </c>
      <c r="T26" s="366">
        <v>4.0</v>
      </c>
      <c r="U26" s="156">
        <v>6.0</v>
      </c>
      <c r="V26" s="156">
        <v>4.0</v>
      </c>
      <c r="W26" s="156">
        <v>6.0</v>
      </c>
      <c r="X26" s="68">
        <v>4.0</v>
      </c>
      <c r="Y26" s="156">
        <v>4.0</v>
      </c>
      <c r="Z26" s="156">
        <v>4.0</v>
      </c>
      <c r="AA26" s="156">
        <v>4.0</v>
      </c>
      <c r="AB26" s="212">
        <v>4.0</v>
      </c>
      <c r="AC26" s="156">
        <v>6.0</v>
      </c>
      <c r="AD26" s="156">
        <v>6.0</v>
      </c>
      <c r="AE26" s="156">
        <v>5.0</v>
      </c>
      <c r="AF26" s="156">
        <v>6.0</v>
      </c>
      <c r="AG26" s="67">
        <v>4.0</v>
      </c>
      <c r="AH26" s="156">
        <v>2.0</v>
      </c>
      <c r="AI26" s="156">
        <v>2.0</v>
      </c>
      <c r="AJ26" s="156">
        <v>2.0</v>
      </c>
      <c r="AK26" s="156">
        <v>2.0</v>
      </c>
      <c r="AL26" s="160">
        <f t="shared" si="8"/>
        <v>2</v>
      </c>
      <c r="AM26" s="364">
        <f t="shared" si="9"/>
        <v>3.7</v>
      </c>
    </row>
    <row r="27" ht="15.75" customHeight="1">
      <c r="A27" s="74">
        <v>20.0</v>
      </c>
      <c r="B27" s="118" t="s">
        <v>391</v>
      </c>
      <c r="C27" s="65" t="s">
        <v>45</v>
      </c>
      <c r="D27" s="62">
        <v>6.0</v>
      </c>
      <c r="E27" s="62">
        <v>6.0</v>
      </c>
      <c r="F27" s="305">
        <f t="shared" ref="F27:F45" si="10">SUM(D27:E27)/2</f>
        <v>6</v>
      </c>
      <c r="G27" s="62">
        <v>4.0</v>
      </c>
      <c r="H27" s="62">
        <v>4.0</v>
      </c>
      <c r="I27" s="360">
        <f t="shared" si="2"/>
        <v>4</v>
      </c>
      <c r="J27" s="156">
        <v>5.0</v>
      </c>
      <c r="K27" s="156">
        <v>5.0</v>
      </c>
      <c r="L27" s="156">
        <v>5.0</v>
      </c>
      <c r="M27" s="156">
        <v>5.0</v>
      </c>
      <c r="N27" s="362">
        <f t="shared" si="3"/>
        <v>5</v>
      </c>
      <c r="O27" s="156">
        <v>5.0</v>
      </c>
      <c r="P27" s="156">
        <v>6.0</v>
      </c>
      <c r="Q27" s="156">
        <v>6.0</v>
      </c>
      <c r="R27" s="156">
        <v>5.0</v>
      </c>
      <c r="S27" s="156">
        <v>5.0</v>
      </c>
      <c r="T27" s="366">
        <f t="shared" ref="T27:T31" si="11">SUM(Q27:S27)/3</f>
        <v>5.333333333</v>
      </c>
      <c r="U27" s="156">
        <v>6.0</v>
      </c>
      <c r="V27" s="156">
        <v>5.0</v>
      </c>
      <c r="W27" s="156">
        <v>6.0</v>
      </c>
      <c r="X27" s="68">
        <f t="shared" ref="X27:X31" si="12">SUM(U27:W27)/3</f>
        <v>5.666666667</v>
      </c>
      <c r="Y27" s="156">
        <v>5.0</v>
      </c>
      <c r="Z27" s="156">
        <v>5.0</v>
      </c>
      <c r="AA27" s="156">
        <v>5.0</v>
      </c>
      <c r="AB27" s="212">
        <f t="shared" ref="AB27:AB31" si="13">SUM(X27:AA27)/4</f>
        <v>5.166666667</v>
      </c>
      <c r="AC27" s="156">
        <v>6.0</v>
      </c>
      <c r="AD27" s="156">
        <v>6.0</v>
      </c>
      <c r="AE27" s="156">
        <v>5.0</v>
      </c>
      <c r="AF27" s="156">
        <v>6.0</v>
      </c>
      <c r="AG27" s="67">
        <f t="shared" ref="AG27:AG31" si="14">SUM(AD27:AF27)/3</f>
        <v>5.666666667</v>
      </c>
      <c r="AH27" s="156">
        <v>6.0</v>
      </c>
      <c r="AI27" s="156">
        <v>6.0</v>
      </c>
      <c r="AJ27" s="156">
        <v>5.0</v>
      </c>
      <c r="AK27" s="156">
        <v>5.0</v>
      </c>
      <c r="AL27" s="160">
        <f t="shared" si="8"/>
        <v>5.333333333</v>
      </c>
      <c r="AM27" s="364">
        <f t="shared" si="9"/>
        <v>5.533333333</v>
      </c>
    </row>
    <row r="28" ht="15.75" customHeight="1">
      <c r="A28" s="74">
        <v>21.0</v>
      </c>
      <c r="B28" s="118" t="s">
        <v>392</v>
      </c>
      <c r="C28" s="65" t="s">
        <v>45</v>
      </c>
      <c r="D28" s="62">
        <v>6.0</v>
      </c>
      <c r="E28" s="62">
        <v>6.0</v>
      </c>
      <c r="F28" s="305">
        <f t="shared" si="10"/>
        <v>6</v>
      </c>
      <c r="G28" s="62">
        <v>4.0</v>
      </c>
      <c r="H28" s="62">
        <v>4.0</v>
      </c>
      <c r="I28" s="360">
        <f t="shared" si="2"/>
        <v>4</v>
      </c>
      <c r="J28" s="156">
        <v>6.0</v>
      </c>
      <c r="K28" s="156">
        <v>5.0</v>
      </c>
      <c r="L28" s="156">
        <v>5.0</v>
      </c>
      <c r="M28" s="156">
        <v>5.0</v>
      </c>
      <c r="N28" s="362">
        <f t="shared" si="3"/>
        <v>5</v>
      </c>
      <c r="O28" s="156">
        <v>6.0</v>
      </c>
      <c r="P28" s="156">
        <v>6.0</v>
      </c>
      <c r="Q28" s="156">
        <v>6.0</v>
      </c>
      <c r="R28" s="156">
        <v>5.0</v>
      </c>
      <c r="S28" s="156">
        <v>5.0</v>
      </c>
      <c r="T28" s="366">
        <f t="shared" si="11"/>
        <v>5.333333333</v>
      </c>
      <c r="U28" s="156">
        <v>6.0</v>
      </c>
      <c r="V28" s="156">
        <v>5.0</v>
      </c>
      <c r="W28" s="156">
        <v>6.0</v>
      </c>
      <c r="X28" s="68">
        <f t="shared" si="12"/>
        <v>5.666666667</v>
      </c>
      <c r="Y28" s="156">
        <v>6.0</v>
      </c>
      <c r="Z28" s="156">
        <v>6.0</v>
      </c>
      <c r="AA28" s="156">
        <v>6.0</v>
      </c>
      <c r="AB28" s="212">
        <f t="shared" si="13"/>
        <v>5.916666667</v>
      </c>
      <c r="AC28" s="156">
        <v>6.0</v>
      </c>
      <c r="AD28" s="156">
        <v>6.0</v>
      </c>
      <c r="AE28" s="156">
        <v>5.0</v>
      </c>
      <c r="AF28" s="156">
        <v>6.0</v>
      </c>
      <c r="AG28" s="67">
        <f t="shared" si="14"/>
        <v>5.666666667</v>
      </c>
      <c r="AH28" s="156">
        <v>6.0</v>
      </c>
      <c r="AI28" s="156">
        <v>6.0</v>
      </c>
      <c r="AJ28" s="156">
        <v>6.0</v>
      </c>
      <c r="AK28" s="156">
        <v>5.0</v>
      </c>
      <c r="AL28" s="160">
        <f t="shared" si="8"/>
        <v>5.666666667</v>
      </c>
      <c r="AM28" s="364">
        <f t="shared" si="9"/>
        <v>5.766666667</v>
      </c>
    </row>
    <row r="29" ht="15.75" customHeight="1">
      <c r="A29" s="74">
        <v>22.0</v>
      </c>
      <c r="B29" s="118" t="s">
        <v>393</v>
      </c>
      <c r="C29" s="65" t="s">
        <v>45</v>
      </c>
      <c r="D29" s="62">
        <v>4.0</v>
      </c>
      <c r="E29" s="62">
        <v>4.0</v>
      </c>
      <c r="F29" s="305">
        <f t="shared" si="10"/>
        <v>4</v>
      </c>
      <c r="G29" s="62">
        <v>2.0</v>
      </c>
      <c r="H29" s="62">
        <v>2.0</v>
      </c>
      <c r="I29" s="360">
        <f t="shared" si="2"/>
        <v>2</v>
      </c>
      <c r="J29" s="156">
        <v>4.0</v>
      </c>
      <c r="K29" s="156">
        <v>3.0</v>
      </c>
      <c r="L29" s="156">
        <v>3.0</v>
      </c>
      <c r="M29" s="156">
        <v>3.0</v>
      </c>
      <c r="N29" s="362">
        <f t="shared" si="3"/>
        <v>3</v>
      </c>
      <c r="O29" s="156">
        <v>4.0</v>
      </c>
      <c r="P29" s="156">
        <v>4.0</v>
      </c>
      <c r="Q29" s="156">
        <v>4.0</v>
      </c>
      <c r="R29" s="156">
        <v>4.0</v>
      </c>
      <c r="S29" s="156">
        <v>4.0</v>
      </c>
      <c r="T29" s="366">
        <f t="shared" si="11"/>
        <v>4</v>
      </c>
      <c r="U29" s="156">
        <v>6.0</v>
      </c>
      <c r="V29" s="156">
        <v>4.0</v>
      </c>
      <c r="W29" s="156">
        <v>6.0</v>
      </c>
      <c r="X29" s="68">
        <f t="shared" si="12"/>
        <v>5.333333333</v>
      </c>
      <c r="Y29" s="156">
        <v>4.0</v>
      </c>
      <c r="Z29" s="156">
        <v>4.0</v>
      </c>
      <c r="AA29" s="156">
        <v>4.0</v>
      </c>
      <c r="AB29" s="212">
        <f t="shared" si="13"/>
        <v>4.333333333</v>
      </c>
      <c r="AC29" s="156">
        <v>6.0</v>
      </c>
      <c r="AD29" s="156">
        <v>6.0</v>
      </c>
      <c r="AE29" s="156">
        <v>5.0</v>
      </c>
      <c r="AF29" s="156">
        <v>6.0</v>
      </c>
      <c r="AG29" s="67">
        <f t="shared" si="14"/>
        <v>5.666666667</v>
      </c>
      <c r="AH29" s="156">
        <v>5.0</v>
      </c>
      <c r="AI29" s="156">
        <v>5.0</v>
      </c>
      <c r="AJ29" s="156">
        <v>5.0</v>
      </c>
      <c r="AK29" s="156">
        <v>5.0</v>
      </c>
      <c r="AL29" s="160">
        <f t="shared" si="8"/>
        <v>5</v>
      </c>
      <c r="AM29" s="364">
        <f t="shared" si="9"/>
        <v>4.5</v>
      </c>
    </row>
    <row r="30" ht="15.75" customHeight="1">
      <c r="A30" s="74">
        <v>23.0</v>
      </c>
      <c r="B30" s="118" t="s">
        <v>394</v>
      </c>
      <c r="C30" s="65" t="s">
        <v>45</v>
      </c>
      <c r="D30" s="62">
        <v>4.0</v>
      </c>
      <c r="E30" s="62">
        <v>4.0</v>
      </c>
      <c r="F30" s="305">
        <f t="shared" si="10"/>
        <v>4</v>
      </c>
      <c r="G30" s="62">
        <v>2.0</v>
      </c>
      <c r="H30" s="62">
        <v>2.0</v>
      </c>
      <c r="I30" s="360">
        <f t="shared" si="2"/>
        <v>2</v>
      </c>
      <c r="J30" s="156">
        <v>4.0</v>
      </c>
      <c r="K30" s="156">
        <v>3.0</v>
      </c>
      <c r="L30" s="156">
        <v>3.0</v>
      </c>
      <c r="M30" s="156">
        <v>3.0</v>
      </c>
      <c r="N30" s="362">
        <f t="shared" si="3"/>
        <v>3</v>
      </c>
      <c r="O30" s="156">
        <v>4.0</v>
      </c>
      <c r="P30" s="156">
        <v>5.0</v>
      </c>
      <c r="Q30" s="156">
        <v>5.0</v>
      </c>
      <c r="R30" s="156">
        <v>4.0</v>
      </c>
      <c r="S30" s="156">
        <v>4.0</v>
      </c>
      <c r="T30" s="366">
        <f t="shared" si="11"/>
        <v>4.333333333</v>
      </c>
      <c r="U30" s="156">
        <v>6.0</v>
      </c>
      <c r="V30" s="156">
        <v>4.0</v>
      </c>
      <c r="W30" s="156">
        <v>6.0</v>
      </c>
      <c r="X30" s="68">
        <f t="shared" si="12"/>
        <v>5.333333333</v>
      </c>
      <c r="Y30" s="156">
        <v>4.0</v>
      </c>
      <c r="Z30" s="156">
        <v>4.0</v>
      </c>
      <c r="AA30" s="156">
        <v>4.0</v>
      </c>
      <c r="AB30" s="212">
        <f t="shared" si="13"/>
        <v>4.333333333</v>
      </c>
      <c r="AC30" s="156">
        <v>6.0</v>
      </c>
      <c r="AD30" s="156">
        <v>6.0</v>
      </c>
      <c r="AE30" s="156">
        <v>5.0</v>
      </c>
      <c r="AF30" s="156">
        <v>6.0</v>
      </c>
      <c r="AG30" s="67">
        <f t="shared" si="14"/>
        <v>5.666666667</v>
      </c>
      <c r="AH30" s="156">
        <v>3.0</v>
      </c>
      <c r="AI30" s="156">
        <v>3.0</v>
      </c>
      <c r="AJ30" s="156">
        <v>3.0</v>
      </c>
      <c r="AK30" s="156">
        <v>3.0</v>
      </c>
      <c r="AL30" s="160">
        <f t="shared" si="8"/>
        <v>3</v>
      </c>
      <c r="AM30" s="364">
        <f t="shared" si="9"/>
        <v>4.3</v>
      </c>
    </row>
    <row r="31" ht="15.75" customHeight="1">
      <c r="A31" s="74">
        <v>24.0</v>
      </c>
      <c r="B31" s="118" t="s">
        <v>395</v>
      </c>
      <c r="C31" s="65" t="s">
        <v>45</v>
      </c>
      <c r="D31" s="62">
        <v>6.0</v>
      </c>
      <c r="E31" s="62">
        <v>6.0</v>
      </c>
      <c r="F31" s="305">
        <f t="shared" si="10"/>
        <v>6</v>
      </c>
      <c r="G31" s="62">
        <v>4.0</v>
      </c>
      <c r="H31" s="62">
        <v>3.0</v>
      </c>
      <c r="I31" s="360">
        <f t="shared" si="2"/>
        <v>3.5</v>
      </c>
      <c r="J31" s="156">
        <v>6.0</v>
      </c>
      <c r="K31" s="156">
        <v>5.0</v>
      </c>
      <c r="L31" s="156">
        <v>5.0</v>
      </c>
      <c r="M31" s="156">
        <v>5.0</v>
      </c>
      <c r="N31" s="362">
        <f t="shared" si="3"/>
        <v>5</v>
      </c>
      <c r="O31" s="156">
        <v>5.0</v>
      </c>
      <c r="P31" s="156">
        <v>5.0</v>
      </c>
      <c r="Q31" s="156">
        <v>5.0</v>
      </c>
      <c r="R31" s="156">
        <v>5.0</v>
      </c>
      <c r="S31" s="156">
        <v>5.0</v>
      </c>
      <c r="T31" s="366">
        <f t="shared" si="11"/>
        <v>5</v>
      </c>
      <c r="U31" s="156">
        <v>6.0</v>
      </c>
      <c r="V31" s="156">
        <v>5.0</v>
      </c>
      <c r="W31" s="156">
        <v>6.0</v>
      </c>
      <c r="X31" s="68">
        <f t="shared" si="12"/>
        <v>5.666666667</v>
      </c>
      <c r="Y31" s="156">
        <v>6.0</v>
      </c>
      <c r="Z31" s="156">
        <v>6.0</v>
      </c>
      <c r="AA31" s="156">
        <v>6.0</v>
      </c>
      <c r="AB31" s="212">
        <f t="shared" si="13"/>
        <v>5.916666667</v>
      </c>
      <c r="AC31" s="156">
        <v>6.0</v>
      </c>
      <c r="AD31" s="156">
        <v>6.0</v>
      </c>
      <c r="AE31" s="156">
        <v>5.0</v>
      </c>
      <c r="AF31" s="156">
        <v>6.0</v>
      </c>
      <c r="AG31" s="67">
        <f t="shared" si="14"/>
        <v>5.666666667</v>
      </c>
      <c r="AH31" s="156">
        <v>5.0</v>
      </c>
      <c r="AI31" s="156">
        <v>5.0</v>
      </c>
      <c r="AJ31" s="156">
        <v>5.0</v>
      </c>
      <c r="AK31" s="156">
        <v>5.0</v>
      </c>
      <c r="AL31" s="160">
        <f t="shared" si="8"/>
        <v>5</v>
      </c>
      <c r="AM31" s="364">
        <f t="shared" si="9"/>
        <v>5.3</v>
      </c>
    </row>
    <row r="32" ht="15.75" customHeight="1">
      <c r="A32" s="74">
        <v>25.0</v>
      </c>
      <c r="B32" s="383" t="s">
        <v>396</v>
      </c>
      <c r="C32" s="384" t="s">
        <v>45</v>
      </c>
      <c r="D32" s="385"/>
      <c r="E32" s="385"/>
      <c r="F32" s="386">
        <f t="shared" si="10"/>
        <v>0</v>
      </c>
      <c r="G32" s="385"/>
      <c r="H32" s="385"/>
      <c r="I32" s="360">
        <f t="shared" si="2"/>
        <v>0</v>
      </c>
      <c r="J32" s="387"/>
      <c r="K32" s="387"/>
      <c r="L32" s="387"/>
      <c r="M32" s="387"/>
      <c r="N32" s="362">
        <f t="shared" si="3"/>
        <v>0</v>
      </c>
      <c r="O32" s="387"/>
      <c r="P32" s="387"/>
      <c r="Q32" s="387"/>
      <c r="R32" s="387"/>
      <c r="S32" s="387"/>
      <c r="T32" s="386"/>
      <c r="U32" s="387"/>
      <c r="V32" s="387"/>
      <c r="W32" s="387"/>
      <c r="X32" s="386"/>
      <c r="Y32" s="387"/>
      <c r="Z32" s="387"/>
      <c r="AA32" s="387"/>
      <c r="AB32" s="386"/>
      <c r="AC32" s="387"/>
      <c r="AD32" s="387"/>
      <c r="AE32" s="387"/>
      <c r="AF32" s="387"/>
      <c r="AG32" s="386"/>
      <c r="AH32" s="387"/>
      <c r="AI32" s="387"/>
      <c r="AJ32" s="387"/>
      <c r="AK32" s="387"/>
      <c r="AL32" s="160">
        <f t="shared" si="8"/>
        <v>0</v>
      </c>
      <c r="AM32" s="364">
        <f t="shared" si="9"/>
        <v>0</v>
      </c>
    </row>
    <row r="33" ht="15.75" customHeight="1">
      <c r="A33" s="74">
        <v>26.0</v>
      </c>
      <c r="B33" s="118" t="s">
        <v>397</v>
      </c>
      <c r="C33" s="65" t="s">
        <v>45</v>
      </c>
      <c r="D33" s="62">
        <v>5.0</v>
      </c>
      <c r="E33" s="62">
        <v>5.0</v>
      </c>
      <c r="F33" s="305">
        <f t="shared" si="10"/>
        <v>5</v>
      </c>
      <c r="G33" s="62">
        <v>3.0</v>
      </c>
      <c r="H33" s="62">
        <v>3.0</v>
      </c>
      <c r="I33" s="360">
        <f t="shared" si="2"/>
        <v>3</v>
      </c>
      <c r="J33" s="156">
        <v>5.0</v>
      </c>
      <c r="K33" s="156">
        <v>4.0</v>
      </c>
      <c r="L33" s="156">
        <v>4.0</v>
      </c>
      <c r="M33" s="156">
        <v>4.0</v>
      </c>
      <c r="N33" s="362">
        <f t="shared" si="3"/>
        <v>4</v>
      </c>
      <c r="O33" s="156">
        <v>4.0</v>
      </c>
      <c r="P33" s="156">
        <v>5.0</v>
      </c>
      <c r="Q33" s="156">
        <v>5.0</v>
      </c>
      <c r="R33" s="156">
        <v>4.0</v>
      </c>
      <c r="S33" s="156">
        <v>4.0</v>
      </c>
      <c r="T33" s="366">
        <f t="shared" ref="T33:T45" si="15">SUM(Q33:S33)/3</f>
        <v>4.333333333</v>
      </c>
      <c r="U33" s="156">
        <v>6.0</v>
      </c>
      <c r="V33" s="156">
        <v>4.0</v>
      </c>
      <c r="W33" s="156">
        <v>6.0</v>
      </c>
      <c r="X33" s="68">
        <f t="shared" ref="X33:X45" si="16">SUM(U33:W33)/3</f>
        <v>5.333333333</v>
      </c>
      <c r="Y33" s="156">
        <v>4.0</v>
      </c>
      <c r="Z33" s="156">
        <v>4.0</v>
      </c>
      <c r="AA33" s="156">
        <v>4.0</v>
      </c>
      <c r="AB33" s="212">
        <f t="shared" ref="AB33:AB45" si="17">SUM(X33:AA33)/4</f>
        <v>4.333333333</v>
      </c>
      <c r="AC33" s="156">
        <v>6.0</v>
      </c>
      <c r="AD33" s="156">
        <v>6.0</v>
      </c>
      <c r="AE33" s="156">
        <v>5.0</v>
      </c>
      <c r="AF33" s="156">
        <v>5.0</v>
      </c>
      <c r="AG33" s="67">
        <f t="shared" ref="AG33:AG45" si="18">SUM(AD33:AF33)/3</f>
        <v>5.333333333</v>
      </c>
      <c r="AH33" s="156">
        <v>5.0</v>
      </c>
      <c r="AI33" s="156">
        <v>5.0</v>
      </c>
      <c r="AJ33" s="156">
        <v>5.0</v>
      </c>
      <c r="AK33" s="156">
        <v>5.0</v>
      </c>
      <c r="AL33" s="160">
        <f t="shared" si="8"/>
        <v>5</v>
      </c>
      <c r="AM33" s="364">
        <f t="shared" si="9"/>
        <v>4.8</v>
      </c>
    </row>
    <row r="34" ht="15.75" customHeight="1">
      <c r="A34" s="74">
        <v>27.0</v>
      </c>
      <c r="B34" s="118" t="s">
        <v>398</v>
      </c>
      <c r="C34" s="65" t="s">
        <v>45</v>
      </c>
      <c r="D34" s="62">
        <v>5.0</v>
      </c>
      <c r="E34" s="62">
        <v>5.0</v>
      </c>
      <c r="F34" s="305">
        <f t="shared" si="10"/>
        <v>5</v>
      </c>
      <c r="G34" s="62">
        <v>3.0</v>
      </c>
      <c r="H34" s="62">
        <v>3.0</v>
      </c>
      <c r="I34" s="360">
        <f t="shared" si="2"/>
        <v>3</v>
      </c>
      <c r="J34" s="156">
        <v>5.0</v>
      </c>
      <c r="K34" s="156">
        <v>5.0</v>
      </c>
      <c r="L34" s="156">
        <v>5.0</v>
      </c>
      <c r="M34" s="156">
        <v>5.0</v>
      </c>
      <c r="N34" s="362">
        <f t="shared" si="3"/>
        <v>5</v>
      </c>
      <c r="O34" s="156">
        <v>4.0</v>
      </c>
      <c r="P34" s="156">
        <v>5.0</v>
      </c>
      <c r="Q34" s="156">
        <v>5.0</v>
      </c>
      <c r="R34" s="156">
        <v>4.0</v>
      </c>
      <c r="S34" s="156">
        <v>4.0</v>
      </c>
      <c r="T34" s="366">
        <f t="shared" si="15"/>
        <v>4.333333333</v>
      </c>
      <c r="U34" s="156">
        <v>6.0</v>
      </c>
      <c r="V34" s="156">
        <v>4.0</v>
      </c>
      <c r="W34" s="156">
        <v>6.0</v>
      </c>
      <c r="X34" s="68">
        <f t="shared" si="16"/>
        <v>5.333333333</v>
      </c>
      <c r="Y34" s="156">
        <v>4.0</v>
      </c>
      <c r="Z34" s="156">
        <v>4.0</v>
      </c>
      <c r="AA34" s="156">
        <v>4.0</v>
      </c>
      <c r="AB34" s="212">
        <f t="shared" si="17"/>
        <v>4.333333333</v>
      </c>
      <c r="AC34" s="156">
        <v>6.0</v>
      </c>
      <c r="AD34" s="156">
        <v>6.0</v>
      </c>
      <c r="AE34" s="156">
        <v>5.0</v>
      </c>
      <c r="AF34" s="156">
        <v>5.0</v>
      </c>
      <c r="AG34" s="67">
        <f t="shared" si="18"/>
        <v>5.333333333</v>
      </c>
      <c r="AH34" s="156">
        <v>5.0</v>
      </c>
      <c r="AI34" s="156">
        <v>5.0</v>
      </c>
      <c r="AJ34" s="156">
        <v>5.0</v>
      </c>
      <c r="AK34" s="156">
        <v>5.0</v>
      </c>
      <c r="AL34" s="160">
        <f t="shared" si="8"/>
        <v>5</v>
      </c>
      <c r="AM34" s="364">
        <f t="shared" si="9"/>
        <v>4.9</v>
      </c>
    </row>
    <row r="35" ht="15.75" customHeight="1">
      <c r="A35" s="74">
        <v>28.0</v>
      </c>
      <c r="B35" s="118" t="s">
        <v>399</v>
      </c>
      <c r="C35" s="65" t="s">
        <v>45</v>
      </c>
      <c r="D35" s="62">
        <v>3.0</v>
      </c>
      <c r="E35" s="62">
        <v>3.0</v>
      </c>
      <c r="F35" s="305">
        <f t="shared" si="10"/>
        <v>3</v>
      </c>
      <c r="G35" s="62">
        <v>1.0</v>
      </c>
      <c r="H35" s="62">
        <v>1.0</v>
      </c>
      <c r="I35" s="360">
        <f t="shared" si="2"/>
        <v>1</v>
      </c>
      <c r="J35" s="156">
        <v>2.0</v>
      </c>
      <c r="K35" s="156">
        <v>2.0</v>
      </c>
      <c r="L35" s="156">
        <v>2.0</v>
      </c>
      <c r="M35" s="156">
        <v>2.0</v>
      </c>
      <c r="N35" s="362">
        <f t="shared" si="3"/>
        <v>2</v>
      </c>
      <c r="O35" s="156">
        <v>3.0</v>
      </c>
      <c r="P35" s="156">
        <v>4.0</v>
      </c>
      <c r="Q35" s="156">
        <v>4.0</v>
      </c>
      <c r="R35" s="156">
        <v>2.0</v>
      </c>
      <c r="S35" s="156">
        <v>2.0</v>
      </c>
      <c r="T35" s="366">
        <f t="shared" si="15"/>
        <v>2.666666667</v>
      </c>
      <c r="U35" s="156">
        <v>6.0</v>
      </c>
      <c r="V35" s="156">
        <v>4.0</v>
      </c>
      <c r="W35" s="156">
        <v>6.0</v>
      </c>
      <c r="X35" s="68">
        <f t="shared" si="16"/>
        <v>5.333333333</v>
      </c>
      <c r="Y35" s="156">
        <v>3.0</v>
      </c>
      <c r="Z35" s="156">
        <v>3.0</v>
      </c>
      <c r="AA35" s="156">
        <v>3.0</v>
      </c>
      <c r="AB35" s="212">
        <f t="shared" si="17"/>
        <v>3.583333333</v>
      </c>
      <c r="AC35" s="156">
        <v>6.0</v>
      </c>
      <c r="AD35" s="156">
        <v>6.0</v>
      </c>
      <c r="AE35" s="156">
        <v>5.0</v>
      </c>
      <c r="AF35" s="156">
        <v>6.0</v>
      </c>
      <c r="AG35" s="67">
        <f t="shared" si="18"/>
        <v>5.666666667</v>
      </c>
      <c r="AH35" s="156">
        <v>2.0</v>
      </c>
      <c r="AI35" s="156">
        <v>2.0</v>
      </c>
      <c r="AJ35" s="156">
        <v>2.0</v>
      </c>
      <c r="AK35" s="156">
        <v>2.0</v>
      </c>
      <c r="AL35" s="160">
        <f t="shared" si="8"/>
        <v>2</v>
      </c>
      <c r="AM35" s="364">
        <f t="shared" si="9"/>
        <v>3.4</v>
      </c>
    </row>
    <row r="36" ht="15.75" customHeight="1">
      <c r="A36" s="74">
        <v>29.0</v>
      </c>
      <c r="B36" s="118" t="s">
        <v>400</v>
      </c>
      <c r="C36" s="65" t="s">
        <v>44</v>
      </c>
      <c r="D36" s="62">
        <v>6.0</v>
      </c>
      <c r="E36" s="62">
        <v>6.0</v>
      </c>
      <c r="F36" s="305">
        <f t="shared" si="10"/>
        <v>6</v>
      </c>
      <c r="G36" s="62">
        <v>6.0</v>
      </c>
      <c r="H36" s="62">
        <v>6.0</v>
      </c>
      <c r="I36" s="360">
        <f t="shared" si="2"/>
        <v>6</v>
      </c>
      <c r="J36" s="156">
        <v>6.0</v>
      </c>
      <c r="K36" s="156">
        <v>6.0</v>
      </c>
      <c r="L36" s="156">
        <v>6.0</v>
      </c>
      <c r="M36" s="156">
        <v>6.0</v>
      </c>
      <c r="N36" s="362">
        <f t="shared" si="3"/>
        <v>6</v>
      </c>
      <c r="O36" s="156">
        <v>6.0</v>
      </c>
      <c r="P36" s="156">
        <v>6.0</v>
      </c>
      <c r="Q36" s="156">
        <v>6.0</v>
      </c>
      <c r="R36" s="156">
        <v>5.0</v>
      </c>
      <c r="S36" s="156">
        <v>5.0</v>
      </c>
      <c r="T36" s="366">
        <f t="shared" si="15"/>
        <v>5.333333333</v>
      </c>
      <c r="U36" s="156">
        <v>6.0</v>
      </c>
      <c r="V36" s="156">
        <v>5.0</v>
      </c>
      <c r="W36" s="156">
        <v>6.0</v>
      </c>
      <c r="X36" s="68">
        <f t="shared" si="16"/>
        <v>5.666666667</v>
      </c>
      <c r="Y36" s="156">
        <v>6.0</v>
      </c>
      <c r="Z36" s="156">
        <v>6.0</v>
      </c>
      <c r="AA36" s="156">
        <v>6.0</v>
      </c>
      <c r="AB36" s="212">
        <f t="shared" si="17"/>
        <v>5.916666667</v>
      </c>
      <c r="AC36" s="156">
        <v>6.0</v>
      </c>
      <c r="AD36" s="156">
        <v>6.0</v>
      </c>
      <c r="AE36" s="156">
        <v>5.0</v>
      </c>
      <c r="AF36" s="156">
        <v>6.0</v>
      </c>
      <c r="AG36" s="67">
        <f t="shared" si="18"/>
        <v>5.666666667</v>
      </c>
      <c r="AH36" s="156">
        <v>6.0</v>
      </c>
      <c r="AI36" s="156">
        <v>6.0</v>
      </c>
      <c r="AJ36" s="156">
        <v>3.0</v>
      </c>
      <c r="AK36" s="156">
        <v>3.0</v>
      </c>
      <c r="AL36" s="160">
        <f t="shared" si="8"/>
        <v>4</v>
      </c>
      <c r="AM36" s="364">
        <f t="shared" si="9"/>
        <v>5.7</v>
      </c>
    </row>
    <row r="37" ht="15.75" customHeight="1">
      <c r="A37" s="74">
        <v>30.0</v>
      </c>
      <c r="B37" s="118" t="s">
        <v>401</v>
      </c>
      <c r="C37" s="65" t="s">
        <v>45</v>
      </c>
      <c r="D37" s="62">
        <v>6.0</v>
      </c>
      <c r="E37" s="62">
        <v>6.0</v>
      </c>
      <c r="F37" s="305">
        <f t="shared" si="10"/>
        <v>6</v>
      </c>
      <c r="G37" s="62">
        <v>6.0</v>
      </c>
      <c r="H37" s="62">
        <v>5.0</v>
      </c>
      <c r="I37" s="360">
        <f t="shared" si="2"/>
        <v>5.5</v>
      </c>
      <c r="J37" s="156">
        <v>6.0</v>
      </c>
      <c r="K37" s="156">
        <v>6.0</v>
      </c>
      <c r="L37" s="156">
        <v>6.0</v>
      </c>
      <c r="M37" s="156">
        <v>6.0</v>
      </c>
      <c r="N37" s="362">
        <f t="shared" si="3"/>
        <v>6</v>
      </c>
      <c r="O37" s="156">
        <v>6.0</v>
      </c>
      <c r="P37" s="156">
        <v>5.0</v>
      </c>
      <c r="Q37" s="156">
        <v>5.0</v>
      </c>
      <c r="R37" s="156">
        <v>5.0</v>
      </c>
      <c r="S37" s="156">
        <v>5.0</v>
      </c>
      <c r="T37" s="366">
        <f t="shared" si="15"/>
        <v>5</v>
      </c>
      <c r="U37" s="156">
        <v>6.0</v>
      </c>
      <c r="V37" s="156">
        <v>5.0</v>
      </c>
      <c r="W37" s="156">
        <v>6.0</v>
      </c>
      <c r="X37" s="68">
        <f t="shared" si="16"/>
        <v>5.666666667</v>
      </c>
      <c r="Y37" s="156">
        <v>6.0</v>
      </c>
      <c r="Z37" s="156">
        <v>6.0</v>
      </c>
      <c r="AA37" s="156">
        <v>6.0</v>
      </c>
      <c r="AB37" s="212">
        <f t="shared" si="17"/>
        <v>5.916666667</v>
      </c>
      <c r="AC37" s="156">
        <v>6.0</v>
      </c>
      <c r="AD37" s="156">
        <v>6.0</v>
      </c>
      <c r="AE37" s="156">
        <v>5.0</v>
      </c>
      <c r="AF37" s="156">
        <v>6.0</v>
      </c>
      <c r="AG37" s="67">
        <f t="shared" si="18"/>
        <v>5.666666667</v>
      </c>
      <c r="AH37" s="156">
        <v>6.0</v>
      </c>
      <c r="AI37" s="156">
        <v>6.0</v>
      </c>
      <c r="AJ37" s="156">
        <v>6.0</v>
      </c>
      <c r="AK37" s="156">
        <v>6.0</v>
      </c>
      <c r="AL37" s="160">
        <f t="shared" si="8"/>
        <v>6</v>
      </c>
      <c r="AM37" s="364">
        <f t="shared" si="9"/>
        <v>5.7</v>
      </c>
    </row>
    <row r="38" ht="15.75" customHeight="1">
      <c r="A38" s="74">
        <v>31.0</v>
      </c>
      <c r="B38" s="118" t="s">
        <v>402</v>
      </c>
      <c r="C38" s="65" t="s">
        <v>44</v>
      </c>
      <c r="D38" s="62">
        <v>6.0</v>
      </c>
      <c r="E38" s="65">
        <v>6.0</v>
      </c>
      <c r="F38" s="305">
        <f t="shared" si="10"/>
        <v>6</v>
      </c>
      <c r="G38" s="62">
        <v>4.0</v>
      </c>
      <c r="H38" s="75">
        <v>4.0</v>
      </c>
      <c r="I38" s="360">
        <f t="shared" si="2"/>
        <v>4</v>
      </c>
      <c r="J38" s="156">
        <v>4.0</v>
      </c>
      <c r="K38" s="156">
        <v>4.0</v>
      </c>
      <c r="L38" s="156">
        <v>4.0</v>
      </c>
      <c r="M38" s="156">
        <v>4.0</v>
      </c>
      <c r="N38" s="362">
        <f t="shared" si="3"/>
        <v>4</v>
      </c>
      <c r="O38" s="156">
        <v>4.0</v>
      </c>
      <c r="P38" s="156">
        <v>5.0</v>
      </c>
      <c r="Q38" s="156">
        <v>5.0</v>
      </c>
      <c r="R38" s="156">
        <v>4.0</v>
      </c>
      <c r="S38" s="156">
        <v>4.0</v>
      </c>
      <c r="T38" s="366">
        <f t="shared" si="15"/>
        <v>4.333333333</v>
      </c>
      <c r="U38" s="156">
        <v>6.0</v>
      </c>
      <c r="V38" s="156">
        <v>4.0</v>
      </c>
      <c r="W38" s="156">
        <v>6.0</v>
      </c>
      <c r="X38" s="68">
        <f t="shared" si="16"/>
        <v>5.333333333</v>
      </c>
      <c r="Y38" s="156">
        <v>4.0</v>
      </c>
      <c r="Z38" s="156">
        <v>4.0</v>
      </c>
      <c r="AA38" s="156">
        <v>4.0</v>
      </c>
      <c r="AB38" s="212">
        <f t="shared" si="17"/>
        <v>4.333333333</v>
      </c>
      <c r="AC38" s="156">
        <v>6.0</v>
      </c>
      <c r="AD38" s="156">
        <v>6.0</v>
      </c>
      <c r="AE38" s="156">
        <v>5.0</v>
      </c>
      <c r="AF38" s="156">
        <v>5.0</v>
      </c>
      <c r="AG38" s="67">
        <f t="shared" si="18"/>
        <v>5.333333333</v>
      </c>
      <c r="AH38" s="156">
        <v>5.0</v>
      </c>
      <c r="AI38" s="156">
        <v>5.0</v>
      </c>
      <c r="AJ38" s="156">
        <v>5.0</v>
      </c>
      <c r="AK38" s="156">
        <v>5.0</v>
      </c>
      <c r="AL38" s="160">
        <f t="shared" si="8"/>
        <v>5</v>
      </c>
      <c r="AM38" s="364">
        <f t="shared" si="9"/>
        <v>4.8</v>
      </c>
    </row>
    <row r="39" ht="15.75" customHeight="1">
      <c r="A39" s="74">
        <v>32.0</v>
      </c>
      <c r="B39" s="388" t="s">
        <v>403</v>
      </c>
      <c r="C39" s="62" t="s">
        <v>44</v>
      </c>
      <c r="D39" s="62">
        <v>4.0</v>
      </c>
      <c r="E39" s="62">
        <v>4.0</v>
      </c>
      <c r="F39" s="305">
        <f t="shared" si="10"/>
        <v>4</v>
      </c>
      <c r="G39" s="62">
        <v>2.0</v>
      </c>
      <c r="H39" s="65">
        <v>2.0</v>
      </c>
      <c r="I39" s="360">
        <f t="shared" si="2"/>
        <v>2</v>
      </c>
      <c r="J39" s="156">
        <v>4.0</v>
      </c>
      <c r="K39" s="156">
        <v>3.0</v>
      </c>
      <c r="L39" s="156">
        <v>3.0</v>
      </c>
      <c r="M39" s="156">
        <v>3.0</v>
      </c>
      <c r="N39" s="362">
        <f t="shared" si="3"/>
        <v>3</v>
      </c>
      <c r="O39" s="156">
        <v>4.0</v>
      </c>
      <c r="P39" s="156">
        <v>5.0</v>
      </c>
      <c r="Q39" s="156">
        <v>5.0</v>
      </c>
      <c r="R39" s="156">
        <v>3.0</v>
      </c>
      <c r="S39" s="156">
        <v>3.0</v>
      </c>
      <c r="T39" s="366">
        <f t="shared" si="15"/>
        <v>3.666666667</v>
      </c>
      <c r="U39" s="156">
        <v>6.0</v>
      </c>
      <c r="V39" s="156">
        <v>4.0</v>
      </c>
      <c r="W39" s="156">
        <v>6.0</v>
      </c>
      <c r="X39" s="68">
        <f t="shared" si="16"/>
        <v>5.333333333</v>
      </c>
      <c r="Y39" s="156">
        <v>4.0</v>
      </c>
      <c r="Z39" s="156">
        <v>4.0</v>
      </c>
      <c r="AA39" s="156">
        <v>4.0</v>
      </c>
      <c r="AB39" s="212">
        <f t="shared" si="17"/>
        <v>4.333333333</v>
      </c>
      <c r="AC39" s="156">
        <v>6.0</v>
      </c>
      <c r="AD39" s="156">
        <v>6.0</v>
      </c>
      <c r="AE39" s="156">
        <v>5.0</v>
      </c>
      <c r="AF39" s="156">
        <v>6.0</v>
      </c>
      <c r="AG39" s="67">
        <f t="shared" si="18"/>
        <v>5.666666667</v>
      </c>
      <c r="AH39" s="156">
        <v>3.0</v>
      </c>
      <c r="AI39" s="156">
        <v>3.0</v>
      </c>
      <c r="AJ39" s="156">
        <v>3.0</v>
      </c>
      <c r="AK39" s="156">
        <v>3.0</v>
      </c>
      <c r="AL39" s="160">
        <f t="shared" si="8"/>
        <v>3</v>
      </c>
      <c r="AM39" s="364">
        <f t="shared" si="9"/>
        <v>4.2</v>
      </c>
    </row>
    <row r="40" ht="15.75" customHeight="1">
      <c r="A40" s="74">
        <v>33.0</v>
      </c>
      <c r="B40" s="388" t="s">
        <v>404</v>
      </c>
      <c r="C40" s="62" t="s">
        <v>44</v>
      </c>
      <c r="D40" s="62">
        <v>4.0</v>
      </c>
      <c r="E40" s="62">
        <v>4.0</v>
      </c>
      <c r="F40" s="305">
        <f t="shared" si="10"/>
        <v>4</v>
      </c>
      <c r="G40" s="62">
        <v>2.0</v>
      </c>
      <c r="H40" s="65">
        <v>2.0</v>
      </c>
      <c r="I40" s="360">
        <f t="shared" si="2"/>
        <v>2</v>
      </c>
      <c r="J40" s="156">
        <v>4.0</v>
      </c>
      <c r="K40" s="156">
        <v>3.0</v>
      </c>
      <c r="L40" s="156">
        <v>3.0</v>
      </c>
      <c r="M40" s="156">
        <v>3.0</v>
      </c>
      <c r="N40" s="362">
        <f t="shared" si="3"/>
        <v>3</v>
      </c>
      <c r="O40" s="156">
        <v>4.0</v>
      </c>
      <c r="P40" s="156">
        <v>5.0</v>
      </c>
      <c r="Q40" s="156">
        <v>5.0</v>
      </c>
      <c r="R40" s="156">
        <v>4.0</v>
      </c>
      <c r="S40" s="156">
        <v>4.0</v>
      </c>
      <c r="T40" s="366">
        <f t="shared" si="15"/>
        <v>4.333333333</v>
      </c>
      <c r="U40" s="156">
        <v>6.0</v>
      </c>
      <c r="V40" s="156">
        <v>4.0</v>
      </c>
      <c r="W40" s="156">
        <v>6.0</v>
      </c>
      <c r="X40" s="68">
        <f t="shared" si="16"/>
        <v>5.333333333</v>
      </c>
      <c r="Y40" s="156">
        <v>4.0</v>
      </c>
      <c r="Z40" s="156">
        <v>4.0</v>
      </c>
      <c r="AA40" s="156">
        <v>4.0</v>
      </c>
      <c r="AB40" s="212">
        <f t="shared" si="17"/>
        <v>4.333333333</v>
      </c>
      <c r="AC40" s="156">
        <v>6.0</v>
      </c>
      <c r="AD40" s="156">
        <v>6.0</v>
      </c>
      <c r="AE40" s="156">
        <v>5.0</v>
      </c>
      <c r="AF40" s="156">
        <v>6.0</v>
      </c>
      <c r="AG40" s="67">
        <f t="shared" si="18"/>
        <v>5.666666667</v>
      </c>
      <c r="AH40" s="156">
        <v>4.0</v>
      </c>
      <c r="AI40" s="156">
        <v>4.0</v>
      </c>
      <c r="AJ40" s="156">
        <v>4.0</v>
      </c>
      <c r="AK40" s="156">
        <v>4.0</v>
      </c>
      <c r="AL40" s="160">
        <f t="shared" si="8"/>
        <v>4</v>
      </c>
      <c r="AM40" s="364">
        <f t="shared" si="9"/>
        <v>4.5</v>
      </c>
    </row>
    <row r="41" ht="15.75" customHeight="1">
      <c r="A41" s="74">
        <v>34.0</v>
      </c>
      <c r="B41" s="388" t="s">
        <v>405</v>
      </c>
      <c r="C41" s="62" t="s">
        <v>44</v>
      </c>
      <c r="D41" s="62">
        <v>5.0</v>
      </c>
      <c r="E41" s="65">
        <v>5.0</v>
      </c>
      <c r="F41" s="305">
        <f t="shared" si="10"/>
        <v>5</v>
      </c>
      <c r="G41" s="62">
        <v>3.0</v>
      </c>
      <c r="H41" s="65">
        <v>3.0</v>
      </c>
      <c r="I41" s="360">
        <f t="shared" si="2"/>
        <v>3</v>
      </c>
      <c r="J41" s="156">
        <v>4.0</v>
      </c>
      <c r="K41" s="156">
        <v>3.0</v>
      </c>
      <c r="L41" s="156">
        <v>3.0</v>
      </c>
      <c r="M41" s="156">
        <v>3.0</v>
      </c>
      <c r="N41" s="362">
        <f t="shared" si="3"/>
        <v>3</v>
      </c>
      <c r="O41" s="156">
        <v>4.0</v>
      </c>
      <c r="P41" s="156">
        <v>5.0</v>
      </c>
      <c r="Q41" s="156">
        <v>5.0</v>
      </c>
      <c r="R41" s="156">
        <v>4.0</v>
      </c>
      <c r="S41" s="156">
        <v>4.0</v>
      </c>
      <c r="T41" s="366">
        <f t="shared" si="15"/>
        <v>4.333333333</v>
      </c>
      <c r="U41" s="156">
        <v>6.0</v>
      </c>
      <c r="V41" s="156">
        <v>4.0</v>
      </c>
      <c r="W41" s="156">
        <v>6.0</v>
      </c>
      <c r="X41" s="68">
        <f t="shared" si="16"/>
        <v>5.333333333</v>
      </c>
      <c r="Y41" s="156">
        <v>4.0</v>
      </c>
      <c r="Z41" s="156">
        <v>5.0</v>
      </c>
      <c r="AA41" s="156">
        <v>5.0</v>
      </c>
      <c r="AB41" s="212">
        <f t="shared" si="17"/>
        <v>4.833333333</v>
      </c>
      <c r="AC41" s="156">
        <v>6.0</v>
      </c>
      <c r="AD41" s="156">
        <v>6.0</v>
      </c>
      <c r="AE41" s="156">
        <v>5.0</v>
      </c>
      <c r="AF41" s="156">
        <v>5.0</v>
      </c>
      <c r="AG41" s="67">
        <f t="shared" si="18"/>
        <v>5.333333333</v>
      </c>
      <c r="AH41" s="156">
        <v>3.0</v>
      </c>
      <c r="AI41" s="156">
        <v>4.0</v>
      </c>
      <c r="AJ41" s="156">
        <v>4.0</v>
      </c>
      <c r="AK41" s="156">
        <v>4.0</v>
      </c>
      <c r="AL41" s="160">
        <f t="shared" si="8"/>
        <v>4</v>
      </c>
      <c r="AM41" s="364">
        <f t="shared" si="9"/>
        <v>4.4</v>
      </c>
    </row>
    <row r="42" ht="15.75" customHeight="1">
      <c r="A42" s="74">
        <v>35.0</v>
      </c>
      <c r="B42" s="388"/>
      <c r="C42" s="389"/>
      <c r="D42" s="62"/>
      <c r="E42" s="62"/>
      <c r="F42" s="305">
        <f t="shared" si="10"/>
        <v>0</v>
      </c>
      <c r="G42" s="62"/>
      <c r="H42" s="75"/>
      <c r="I42" s="360">
        <f t="shared" si="2"/>
        <v>0</v>
      </c>
      <c r="J42" s="75"/>
      <c r="K42" s="75"/>
      <c r="L42" s="75"/>
      <c r="M42" s="75"/>
      <c r="N42" s="362">
        <f t="shared" si="3"/>
        <v>0</v>
      </c>
      <c r="O42" s="63"/>
      <c r="P42" s="75"/>
      <c r="Q42" s="75"/>
      <c r="R42" s="75"/>
      <c r="S42" s="75"/>
      <c r="T42" s="366">
        <f t="shared" si="15"/>
        <v>0</v>
      </c>
      <c r="U42" s="62"/>
      <c r="V42" s="62"/>
      <c r="W42" s="62"/>
      <c r="X42" s="68">
        <f t="shared" si="16"/>
        <v>0</v>
      </c>
      <c r="Y42" s="62"/>
      <c r="Z42" s="62"/>
      <c r="AA42" s="62"/>
      <c r="AB42" s="212">
        <f t="shared" si="17"/>
        <v>0</v>
      </c>
      <c r="AC42" s="75"/>
      <c r="AD42" s="75"/>
      <c r="AE42" s="75"/>
      <c r="AF42" s="75"/>
      <c r="AG42" s="67">
        <f t="shared" si="18"/>
        <v>0</v>
      </c>
      <c r="AH42" s="75"/>
      <c r="AI42" s="75"/>
      <c r="AJ42" s="75"/>
      <c r="AK42" s="75"/>
      <c r="AL42" s="160">
        <f t="shared" si="8"/>
        <v>0</v>
      </c>
      <c r="AM42" s="364">
        <f t="shared" si="9"/>
        <v>0</v>
      </c>
    </row>
    <row r="43" ht="15.75" customHeight="1">
      <c r="A43" s="74">
        <v>36.0</v>
      </c>
      <c r="B43" s="390"/>
      <c r="C43" s="389"/>
      <c r="D43" s="62"/>
      <c r="E43" s="62"/>
      <c r="F43" s="305">
        <f t="shared" si="10"/>
        <v>0</v>
      </c>
      <c r="G43" s="62"/>
      <c r="H43" s="75"/>
      <c r="I43" s="360">
        <f t="shared" si="2"/>
        <v>0</v>
      </c>
      <c r="J43" s="75"/>
      <c r="K43" s="75"/>
      <c r="L43" s="75"/>
      <c r="M43" s="75"/>
      <c r="N43" s="362">
        <f t="shared" si="3"/>
        <v>0</v>
      </c>
      <c r="O43" s="63"/>
      <c r="P43" s="75"/>
      <c r="Q43" s="75"/>
      <c r="R43" s="75"/>
      <c r="S43" s="75"/>
      <c r="T43" s="366">
        <f t="shared" si="15"/>
        <v>0</v>
      </c>
      <c r="U43" s="62"/>
      <c r="V43" s="62"/>
      <c r="W43" s="62"/>
      <c r="X43" s="68">
        <f t="shared" si="16"/>
        <v>0</v>
      </c>
      <c r="Y43" s="62"/>
      <c r="Z43" s="62"/>
      <c r="AA43" s="62"/>
      <c r="AB43" s="212">
        <f t="shared" si="17"/>
        <v>0</v>
      </c>
      <c r="AC43" s="75"/>
      <c r="AD43" s="75"/>
      <c r="AE43" s="75"/>
      <c r="AF43" s="75"/>
      <c r="AG43" s="67">
        <f t="shared" si="18"/>
        <v>0</v>
      </c>
      <c r="AH43" s="75"/>
      <c r="AI43" s="75"/>
      <c r="AJ43" s="75"/>
      <c r="AK43" s="75"/>
      <c r="AL43" s="160">
        <f t="shared" si="8"/>
        <v>0</v>
      </c>
      <c r="AM43" s="364">
        <f t="shared" si="9"/>
        <v>0</v>
      </c>
    </row>
    <row r="44" ht="15.75" customHeight="1">
      <c r="A44" s="74">
        <v>37.0</v>
      </c>
      <c r="B44" s="75"/>
      <c r="C44" s="75"/>
      <c r="D44" s="75"/>
      <c r="E44" s="75"/>
      <c r="F44" s="305">
        <f t="shared" si="10"/>
        <v>0</v>
      </c>
      <c r="G44" s="75"/>
      <c r="H44" s="75"/>
      <c r="I44" s="360">
        <f t="shared" si="2"/>
        <v>0</v>
      </c>
      <c r="J44" s="75"/>
      <c r="K44" s="75"/>
      <c r="L44" s="75"/>
      <c r="M44" s="75"/>
      <c r="N44" s="362">
        <f t="shared" si="3"/>
        <v>0</v>
      </c>
      <c r="O44" s="63"/>
      <c r="P44" s="75"/>
      <c r="Q44" s="75"/>
      <c r="R44" s="75"/>
      <c r="S44" s="75"/>
      <c r="T44" s="366">
        <f t="shared" si="15"/>
        <v>0</v>
      </c>
      <c r="U44" s="75"/>
      <c r="V44" s="75"/>
      <c r="W44" s="75"/>
      <c r="X44" s="68">
        <f t="shared" si="16"/>
        <v>0</v>
      </c>
      <c r="Y44" s="62"/>
      <c r="Z44" s="62"/>
      <c r="AA44" s="62"/>
      <c r="AB44" s="212">
        <f t="shared" si="17"/>
        <v>0</v>
      </c>
      <c r="AC44" s="75"/>
      <c r="AD44" s="75"/>
      <c r="AE44" s="75"/>
      <c r="AF44" s="75"/>
      <c r="AG44" s="67">
        <f t="shared" si="18"/>
        <v>0</v>
      </c>
      <c r="AH44" s="75"/>
      <c r="AI44" s="75"/>
      <c r="AJ44" s="75"/>
      <c r="AK44" s="75"/>
      <c r="AL44" s="160">
        <f t="shared" si="8"/>
        <v>0</v>
      </c>
      <c r="AM44" s="364">
        <f t="shared" si="9"/>
        <v>0</v>
      </c>
    </row>
    <row r="45" ht="15.75" customHeight="1">
      <c r="A45" s="84">
        <v>38.0</v>
      </c>
      <c r="B45" s="163"/>
      <c r="C45" s="163"/>
      <c r="D45" s="163"/>
      <c r="E45" s="163"/>
      <c r="F45" s="372">
        <f t="shared" si="10"/>
        <v>0</v>
      </c>
      <c r="G45" s="75"/>
      <c r="H45" s="75"/>
      <c r="I45" s="360">
        <f t="shared" si="2"/>
        <v>0</v>
      </c>
      <c r="J45" s="163"/>
      <c r="K45" s="163"/>
      <c r="L45" s="163"/>
      <c r="M45" s="163"/>
      <c r="N45" s="362">
        <f t="shared" si="3"/>
        <v>0</v>
      </c>
      <c r="O45" s="164"/>
      <c r="P45" s="163"/>
      <c r="Q45" s="163"/>
      <c r="R45" s="163"/>
      <c r="S45" s="163"/>
      <c r="T45" s="375">
        <f t="shared" si="15"/>
        <v>0</v>
      </c>
      <c r="U45" s="163"/>
      <c r="V45" s="163"/>
      <c r="W45" s="163"/>
      <c r="X45" s="166">
        <f t="shared" si="16"/>
        <v>0</v>
      </c>
      <c r="Y45" s="391"/>
      <c r="Z45" s="391"/>
      <c r="AA45" s="391"/>
      <c r="AB45" s="376">
        <f t="shared" si="17"/>
        <v>0</v>
      </c>
      <c r="AC45" s="163"/>
      <c r="AD45" s="163"/>
      <c r="AE45" s="163"/>
      <c r="AF45" s="163"/>
      <c r="AG45" s="377">
        <f t="shared" si="18"/>
        <v>0</v>
      </c>
      <c r="AH45" s="163"/>
      <c r="AI45" s="163"/>
      <c r="AJ45" s="163"/>
      <c r="AK45" s="163"/>
      <c r="AL45" s="160">
        <f t="shared" si="8"/>
        <v>0</v>
      </c>
      <c r="AM45" s="364">
        <f t="shared" si="9"/>
        <v>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6:B7"/>
    <mergeCell ref="C6:C7"/>
    <mergeCell ref="D6:F6"/>
    <mergeCell ref="G6:I6"/>
    <mergeCell ref="K6:N6"/>
    <mergeCell ref="P6:T6"/>
    <mergeCell ref="U6:X6"/>
    <mergeCell ref="Y6:AA6"/>
    <mergeCell ref="AC6:AG6"/>
    <mergeCell ref="AH6:AL6"/>
    <mergeCell ref="A1:AM1"/>
    <mergeCell ref="C3:P3"/>
    <mergeCell ref="Q3:U3"/>
    <mergeCell ref="V3:AE3"/>
    <mergeCell ref="C4:P4"/>
    <mergeCell ref="V4:AE4"/>
    <mergeCell ref="A6:A7"/>
    <mergeCell ref="AM6:AM7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0"/>
    <col customWidth="1" min="2" max="2" width="44.22"/>
    <col customWidth="1" min="3" max="4" width="3.44"/>
    <col customWidth="1" min="5" max="5" width="3.67"/>
    <col customWidth="1" min="6" max="6" width="4.0"/>
    <col customWidth="1" min="7" max="8" width="3.67"/>
    <col customWidth="1" min="9" max="9" width="4.0"/>
    <col customWidth="1" min="10" max="10" width="3.44"/>
    <col customWidth="1" min="11" max="11" width="3.67"/>
    <col customWidth="1" min="12" max="13" width="3.44"/>
    <col customWidth="1" min="14" max="14" width="3.33"/>
    <col customWidth="1" min="15" max="15" width="3.78"/>
    <col customWidth="1" min="16" max="16" width="3.67"/>
    <col customWidth="1" min="17" max="17" width="3.44"/>
    <col customWidth="1" min="18" max="19" width="3.67"/>
    <col customWidth="1" min="20" max="20" width="3.78"/>
    <col customWidth="1" min="21" max="21" width="3.67"/>
    <col customWidth="1" min="22" max="23" width="3.78"/>
    <col customWidth="1" min="24" max="24" width="4.0"/>
    <col customWidth="1" min="25" max="25" width="3.78"/>
    <col customWidth="1" min="26" max="26" width="3.67"/>
    <col customWidth="1" min="27" max="27" width="3.78"/>
    <col customWidth="1" min="28" max="28" width="4.0"/>
    <col customWidth="1" min="29" max="29" width="3.67"/>
    <col customWidth="1" min="30" max="30" width="3.78"/>
    <col customWidth="1" min="31" max="31" width="3.44"/>
    <col customWidth="1" min="32" max="32" width="3.78"/>
    <col customWidth="1" min="33" max="33" width="4.0"/>
    <col customWidth="1" min="34" max="34" width="3.11"/>
    <col customWidth="1" min="35" max="38" width="3.67"/>
    <col customWidth="1" min="39" max="39" width="4.67"/>
  </cols>
  <sheetData>
    <row r="1" ht="27.0" customHeight="1">
      <c r="A1" s="173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15.75" customHeight="1">
      <c r="A2" s="4"/>
      <c r="B2" s="5"/>
      <c r="C2" s="5"/>
      <c r="D2" s="5"/>
      <c r="E2" s="5"/>
      <c r="F2" s="5"/>
      <c r="K2" s="5"/>
      <c r="L2" s="5"/>
      <c r="M2" s="5"/>
      <c r="N2" s="5"/>
      <c r="O2" s="5"/>
      <c r="P2" s="5"/>
      <c r="Q2" s="5"/>
      <c r="R2" s="5"/>
      <c r="S2" s="5"/>
      <c r="T2" s="5"/>
      <c r="AM2" s="7"/>
    </row>
    <row r="3" ht="24.75" customHeight="1">
      <c r="A3" s="8"/>
      <c r="B3" s="9" t="s">
        <v>1</v>
      </c>
      <c r="C3" s="10" t="s">
        <v>2</v>
      </c>
      <c r="Q3" s="9" t="s">
        <v>310</v>
      </c>
      <c r="V3" s="11" t="s">
        <v>406</v>
      </c>
      <c r="AM3" s="7"/>
    </row>
    <row r="4" ht="24.0" customHeight="1">
      <c r="A4" s="12"/>
      <c r="B4" s="13" t="s">
        <v>5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312</v>
      </c>
      <c r="R4" s="13"/>
      <c r="S4" s="13"/>
      <c r="T4" s="13"/>
      <c r="U4" s="13"/>
      <c r="V4" s="13" t="s">
        <v>407</v>
      </c>
      <c r="W4" s="15"/>
      <c r="X4" s="15"/>
      <c r="Y4" s="15"/>
      <c r="Z4" s="15"/>
      <c r="AA4" s="15"/>
      <c r="AB4" s="15"/>
      <c r="AC4" s="15"/>
      <c r="AD4" s="15"/>
      <c r="AE4" s="15"/>
      <c r="AF4" s="175"/>
      <c r="AG4" s="175"/>
      <c r="AH4" s="17"/>
      <c r="AI4" s="17"/>
      <c r="AJ4" s="17"/>
      <c r="AK4" s="17"/>
      <c r="AL4" s="17"/>
      <c r="AM4" s="18"/>
    </row>
    <row r="5" ht="15.75" customHeight="1">
      <c r="A5" s="19"/>
      <c r="B5" s="19"/>
      <c r="C5" s="19"/>
    </row>
    <row r="6" ht="15.75" customHeight="1">
      <c r="A6" s="176" t="s">
        <v>9</v>
      </c>
      <c r="B6" s="176" t="s">
        <v>10</v>
      </c>
      <c r="C6" s="329" t="s">
        <v>11</v>
      </c>
      <c r="D6" s="22" t="s">
        <v>12</v>
      </c>
      <c r="E6" s="23"/>
      <c r="F6" s="24"/>
      <c r="G6" s="330" t="s">
        <v>53</v>
      </c>
      <c r="H6" s="23"/>
      <c r="I6" s="24"/>
      <c r="J6" s="331" t="s">
        <v>131</v>
      </c>
      <c r="K6" s="332" t="s">
        <v>132</v>
      </c>
      <c r="L6" s="23"/>
      <c r="M6" s="23"/>
      <c r="N6" s="24"/>
      <c r="O6" s="333" t="s">
        <v>133</v>
      </c>
      <c r="P6" s="334" t="s">
        <v>14</v>
      </c>
      <c r="Q6" s="23"/>
      <c r="R6" s="23"/>
      <c r="S6" s="23"/>
      <c r="T6" s="24"/>
      <c r="U6" s="26" t="s">
        <v>15</v>
      </c>
      <c r="V6" s="23"/>
      <c r="W6" s="23"/>
      <c r="X6" s="24"/>
      <c r="Y6" s="273" t="s">
        <v>16</v>
      </c>
      <c r="Z6" s="23"/>
      <c r="AA6" s="335"/>
      <c r="AB6" s="336"/>
      <c r="AC6" s="25" t="s">
        <v>17</v>
      </c>
      <c r="AD6" s="23"/>
      <c r="AE6" s="23"/>
      <c r="AF6" s="23"/>
      <c r="AG6" s="24"/>
      <c r="AH6" s="28" t="s">
        <v>18</v>
      </c>
      <c r="AI6" s="23"/>
      <c r="AJ6" s="23"/>
      <c r="AK6" s="23"/>
      <c r="AL6" s="24"/>
      <c r="AM6" s="337">
        <v>66.0</v>
      </c>
    </row>
    <row r="7" ht="48.0" customHeight="1">
      <c r="A7" s="188"/>
      <c r="B7" s="188"/>
      <c r="C7" s="188"/>
      <c r="D7" s="34" t="s">
        <v>314</v>
      </c>
      <c r="E7" s="35" t="s">
        <v>315</v>
      </c>
      <c r="F7" s="36" t="s">
        <v>20</v>
      </c>
      <c r="G7" s="379" t="s">
        <v>314</v>
      </c>
      <c r="H7" s="380" t="s">
        <v>315</v>
      </c>
      <c r="I7" s="392" t="s">
        <v>20</v>
      </c>
      <c r="J7" s="393" t="s">
        <v>22</v>
      </c>
      <c r="K7" s="394" t="s">
        <v>316</v>
      </c>
      <c r="L7" s="395" t="s">
        <v>317</v>
      </c>
      <c r="M7" s="395" t="s">
        <v>318</v>
      </c>
      <c r="N7" s="396" t="s">
        <v>20</v>
      </c>
      <c r="O7" s="397" t="s">
        <v>319</v>
      </c>
      <c r="P7" s="398" t="s">
        <v>320</v>
      </c>
      <c r="Q7" s="399" t="s">
        <v>321</v>
      </c>
      <c r="R7" s="399" t="s">
        <v>322</v>
      </c>
      <c r="S7" s="399" t="s">
        <v>323</v>
      </c>
      <c r="T7" s="400" t="s">
        <v>20</v>
      </c>
      <c r="U7" s="40" t="s">
        <v>324</v>
      </c>
      <c r="V7" s="41" t="s">
        <v>325</v>
      </c>
      <c r="W7" s="401" t="s">
        <v>326</v>
      </c>
      <c r="X7" s="43" t="s">
        <v>20</v>
      </c>
      <c r="Y7" s="402" t="s">
        <v>327</v>
      </c>
      <c r="Z7" s="403" t="s">
        <v>328</v>
      </c>
      <c r="AA7" s="404" t="s">
        <v>329</v>
      </c>
      <c r="AB7" s="405" t="s">
        <v>20</v>
      </c>
      <c r="AC7" s="37" t="s">
        <v>330</v>
      </c>
      <c r="AD7" s="38" t="s">
        <v>331</v>
      </c>
      <c r="AE7" s="38" t="s">
        <v>332</v>
      </c>
      <c r="AF7" s="406" t="s">
        <v>333</v>
      </c>
      <c r="AG7" s="39" t="s">
        <v>20</v>
      </c>
      <c r="AH7" s="407" t="s">
        <v>334</v>
      </c>
      <c r="AI7" s="408" t="s">
        <v>335</v>
      </c>
      <c r="AJ7" s="408" t="s">
        <v>336</v>
      </c>
      <c r="AK7" s="409" t="s">
        <v>337</v>
      </c>
      <c r="AL7" s="49" t="s">
        <v>20</v>
      </c>
      <c r="AM7" s="188"/>
    </row>
    <row r="8" ht="15.75" customHeight="1">
      <c r="A8" s="59">
        <v>1.0</v>
      </c>
      <c r="B8" s="312" t="s">
        <v>408</v>
      </c>
      <c r="C8" s="77" t="s">
        <v>44</v>
      </c>
      <c r="D8" s="62">
        <v>5.0</v>
      </c>
      <c r="E8" s="62">
        <v>5.0</v>
      </c>
      <c r="F8" s="305">
        <f t="shared" ref="F8:F45" si="1">SUM(D8:E8)/2</f>
        <v>5</v>
      </c>
      <c r="G8" s="62">
        <v>5.0</v>
      </c>
      <c r="H8" s="62">
        <v>4.0</v>
      </c>
      <c r="I8" s="85">
        <f t="shared" ref="I8:I45" si="2">SUM(G8:H8)/2</f>
        <v>4.5</v>
      </c>
      <c r="J8" s="63">
        <v>5.0</v>
      </c>
      <c r="K8" s="361">
        <v>6.0</v>
      </c>
      <c r="L8" s="62">
        <v>5.0</v>
      </c>
      <c r="M8" s="62">
        <v>6.0</v>
      </c>
      <c r="N8" s="365">
        <f t="shared" ref="N8:N12" si="3">SUM(L8:M8)/2</f>
        <v>5.5</v>
      </c>
      <c r="O8" s="63">
        <v>6.0</v>
      </c>
      <c r="P8" s="62">
        <v>6.0</v>
      </c>
      <c r="Q8" s="62">
        <v>6.0</v>
      </c>
      <c r="R8" s="62">
        <v>5.0</v>
      </c>
      <c r="S8" s="63">
        <v>5.0</v>
      </c>
      <c r="T8" s="366">
        <f t="shared" ref="T8:T45" si="4">SUM(Q8:S8)/3</f>
        <v>5.333333333</v>
      </c>
      <c r="U8" s="62">
        <v>5.0</v>
      </c>
      <c r="V8" s="62">
        <v>6.0</v>
      </c>
      <c r="W8" s="63">
        <v>6.0</v>
      </c>
      <c r="X8" s="68">
        <f t="shared" ref="X8:X26" si="5">SUM(U8:W8)/3</f>
        <v>5.666666667</v>
      </c>
      <c r="Y8" s="63">
        <v>6.0</v>
      </c>
      <c r="Z8" s="62">
        <v>6.0</v>
      </c>
      <c r="AA8" s="62">
        <v>6.0</v>
      </c>
      <c r="AB8" s="212">
        <f t="shared" ref="AB8:AB45" si="6">SUM(X8:AA8)/4</f>
        <v>5.916666667</v>
      </c>
      <c r="AC8" s="250">
        <v>5.0</v>
      </c>
      <c r="AD8" s="250">
        <v>6.0</v>
      </c>
      <c r="AE8" s="213">
        <v>6.0</v>
      </c>
      <c r="AF8" s="63">
        <v>6.0</v>
      </c>
      <c r="AG8" s="67">
        <f t="shared" ref="AG8:AG40" si="7">SUM(AD8:AF8)/3</f>
        <v>6</v>
      </c>
      <c r="AH8" s="250">
        <v>6.0</v>
      </c>
      <c r="AI8" s="250">
        <v>6.0</v>
      </c>
      <c r="AJ8" s="213">
        <v>6.0</v>
      </c>
      <c r="AK8" s="63">
        <v>6.0</v>
      </c>
      <c r="AL8" s="70">
        <f t="shared" ref="AL8:AL26" si="8">SUM(AI8:AK8)/3</f>
        <v>6</v>
      </c>
      <c r="AM8" s="78">
        <f t="shared" ref="AM8:AM45" si="9">SUM(AL8,AH8,AC8,Y8,U8,R8,Q8,P8,O8,L8)/10</f>
        <v>5.6</v>
      </c>
    </row>
    <row r="9" ht="15.75" customHeight="1">
      <c r="A9" s="74">
        <v>2.0</v>
      </c>
      <c r="B9" s="410" t="s">
        <v>409</v>
      </c>
      <c r="C9" s="65" t="s">
        <v>45</v>
      </c>
      <c r="D9" s="62">
        <v>6.0</v>
      </c>
      <c r="E9" s="62">
        <v>6.0</v>
      </c>
      <c r="F9" s="305">
        <f t="shared" si="1"/>
        <v>6</v>
      </c>
      <c r="G9" s="62">
        <v>5.0</v>
      </c>
      <c r="H9" s="62">
        <v>4.0</v>
      </c>
      <c r="I9" s="85">
        <f t="shared" si="2"/>
        <v>4.5</v>
      </c>
      <c r="J9" s="63">
        <v>5.0</v>
      </c>
      <c r="K9" s="361">
        <v>6.0</v>
      </c>
      <c r="L9" s="62">
        <v>6.0</v>
      </c>
      <c r="M9" s="62">
        <v>6.0</v>
      </c>
      <c r="N9" s="365">
        <f t="shared" si="3"/>
        <v>6</v>
      </c>
      <c r="O9" s="63">
        <v>6.0</v>
      </c>
      <c r="P9" s="62">
        <v>5.0</v>
      </c>
      <c r="Q9" s="62">
        <v>6.0</v>
      </c>
      <c r="R9" s="62">
        <v>6.0</v>
      </c>
      <c r="S9" s="63">
        <v>6.0</v>
      </c>
      <c r="T9" s="366">
        <f t="shared" si="4"/>
        <v>6</v>
      </c>
      <c r="U9" s="62">
        <v>5.0</v>
      </c>
      <c r="V9" s="62">
        <v>6.0</v>
      </c>
      <c r="W9" s="63">
        <v>6.0</v>
      </c>
      <c r="X9" s="68">
        <f t="shared" si="5"/>
        <v>5.666666667</v>
      </c>
      <c r="Y9" s="63">
        <v>5.0</v>
      </c>
      <c r="Z9" s="62">
        <v>5.0</v>
      </c>
      <c r="AA9" s="62">
        <v>6.0</v>
      </c>
      <c r="AB9" s="212">
        <f t="shared" si="6"/>
        <v>5.416666667</v>
      </c>
      <c r="AC9" s="250">
        <v>5.0</v>
      </c>
      <c r="AD9" s="250">
        <v>6.0</v>
      </c>
      <c r="AE9" s="213">
        <v>6.0</v>
      </c>
      <c r="AF9" s="63">
        <v>6.0</v>
      </c>
      <c r="AG9" s="67">
        <f t="shared" si="7"/>
        <v>6</v>
      </c>
      <c r="AH9" s="250">
        <v>6.0</v>
      </c>
      <c r="AI9" s="250">
        <v>6.0</v>
      </c>
      <c r="AJ9" s="213">
        <v>6.0</v>
      </c>
      <c r="AK9" s="63">
        <v>5.0</v>
      </c>
      <c r="AL9" s="70">
        <f t="shared" si="8"/>
        <v>5.666666667</v>
      </c>
      <c r="AM9" s="78">
        <f t="shared" si="9"/>
        <v>5.566666667</v>
      </c>
    </row>
    <row r="10" ht="15.75" customHeight="1">
      <c r="A10" s="74">
        <v>3.0</v>
      </c>
      <c r="B10" s="410" t="s">
        <v>410</v>
      </c>
      <c r="C10" s="65" t="s">
        <v>44</v>
      </c>
      <c r="D10" s="62">
        <v>3.0</v>
      </c>
      <c r="E10" s="62">
        <v>3.0</v>
      </c>
      <c r="F10" s="305">
        <f t="shared" si="1"/>
        <v>3</v>
      </c>
      <c r="G10" s="62">
        <v>3.0</v>
      </c>
      <c r="H10" s="62">
        <v>4.0</v>
      </c>
      <c r="I10" s="85">
        <f t="shared" si="2"/>
        <v>3.5</v>
      </c>
      <c r="J10" s="63">
        <v>4.0</v>
      </c>
      <c r="K10" s="361">
        <v>3.0</v>
      </c>
      <c r="L10" s="62">
        <v>3.0</v>
      </c>
      <c r="M10" s="62">
        <v>3.0</v>
      </c>
      <c r="N10" s="365">
        <f t="shared" si="3"/>
        <v>3</v>
      </c>
      <c r="O10" s="63">
        <v>5.0</v>
      </c>
      <c r="P10" s="62">
        <v>4.0</v>
      </c>
      <c r="Q10" s="62">
        <v>5.0</v>
      </c>
      <c r="R10" s="62">
        <v>3.0</v>
      </c>
      <c r="S10" s="63">
        <v>3.0</v>
      </c>
      <c r="T10" s="366">
        <f t="shared" si="4"/>
        <v>3.666666667</v>
      </c>
      <c r="U10" s="62">
        <v>4.0</v>
      </c>
      <c r="V10" s="62">
        <v>4.0</v>
      </c>
      <c r="W10" s="63">
        <v>4.0</v>
      </c>
      <c r="X10" s="68">
        <f t="shared" si="5"/>
        <v>4</v>
      </c>
      <c r="Y10" s="63">
        <v>4.0</v>
      </c>
      <c r="Z10" s="62">
        <v>3.0</v>
      </c>
      <c r="AA10" s="62">
        <v>4.0</v>
      </c>
      <c r="AB10" s="212">
        <f t="shared" si="6"/>
        <v>3.75</v>
      </c>
      <c r="AC10" s="250">
        <v>5.0</v>
      </c>
      <c r="AD10" s="250">
        <v>5.0</v>
      </c>
      <c r="AE10" s="213">
        <v>5.0</v>
      </c>
      <c r="AF10" s="63">
        <v>5.0</v>
      </c>
      <c r="AG10" s="67">
        <f t="shared" si="7"/>
        <v>5</v>
      </c>
      <c r="AH10" s="250">
        <v>3.0</v>
      </c>
      <c r="AI10" s="250">
        <v>3.0</v>
      </c>
      <c r="AJ10" s="213">
        <v>4.0</v>
      </c>
      <c r="AK10" s="63">
        <v>4.0</v>
      </c>
      <c r="AL10" s="70">
        <f t="shared" si="8"/>
        <v>3.666666667</v>
      </c>
      <c r="AM10" s="78">
        <f t="shared" si="9"/>
        <v>3.966666667</v>
      </c>
    </row>
    <row r="11" ht="15.75" customHeight="1">
      <c r="A11" s="74">
        <v>4.0</v>
      </c>
      <c r="B11" s="410" t="s">
        <v>411</v>
      </c>
      <c r="C11" s="65" t="s">
        <v>44</v>
      </c>
      <c r="D11" s="62">
        <v>4.0</v>
      </c>
      <c r="E11" s="62">
        <v>4.0</v>
      </c>
      <c r="F11" s="305">
        <f t="shared" si="1"/>
        <v>4</v>
      </c>
      <c r="G11" s="62">
        <v>5.0</v>
      </c>
      <c r="H11" s="62">
        <v>4.0</v>
      </c>
      <c r="I11" s="85">
        <f t="shared" si="2"/>
        <v>4.5</v>
      </c>
      <c r="J11" s="63">
        <v>4.0</v>
      </c>
      <c r="K11" s="361">
        <v>5.0</v>
      </c>
      <c r="L11" s="62">
        <v>5.0</v>
      </c>
      <c r="M11" s="62">
        <v>5.0</v>
      </c>
      <c r="N11" s="365">
        <f t="shared" si="3"/>
        <v>5</v>
      </c>
      <c r="O11" s="63">
        <v>6.0</v>
      </c>
      <c r="P11" s="62">
        <v>5.0</v>
      </c>
      <c r="Q11" s="62">
        <v>6.0</v>
      </c>
      <c r="R11" s="62">
        <v>5.0</v>
      </c>
      <c r="S11" s="63">
        <v>4.0</v>
      </c>
      <c r="T11" s="366">
        <f t="shared" si="4"/>
        <v>5</v>
      </c>
      <c r="U11" s="62">
        <v>5.0</v>
      </c>
      <c r="V11" s="62">
        <v>4.0</v>
      </c>
      <c r="W11" s="63">
        <v>5.0</v>
      </c>
      <c r="X11" s="68">
        <f t="shared" si="5"/>
        <v>4.666666667</v>
      </c>
      <c r="Y11" s="63">
        <v>5.0</v>
      </c>
      <c r="Z11" s="62">
        <v>4.0</v>
      </c>
      <c r="AA11" s="62">
        <v>4.0</v>
      </c>
      <c r="AB11" s="212">
        <f t="shared" si="6"/>
        <v>4.416666667</v>
      </c>
      <c r="AC11" s="250">
        <v>5.0</v>
      </c>
      <c r="AD11" s="250">
        <v>6.0</v>
      </c>
      <c r="AE11" s="213">
        <v>6.0</v>
      </c>
      <c r="AF11" s="63">
        <v>6.0</v>
      </c>
      <c r="AG11" s="67">
        <f t="shared" si="7"/>
        <v>6</v>
      </c>
      <c r="AH11" s="250">
        <v>4.0</v>
      </c>
      <c r="AI11" s="250">
        <v>4.0</v>
      </c>
      <c r="AJ11" s="213">
        <v>5.0</v>
      </c>
      <c r="AK11" s="63">
        <v>5.0</v>
      </c>
      <c r="AL11" s="70">
        <f t="shared" si="8"/>
        <v>4.666666667</v>
      </c>
      <c r="AM11" s="78">
        <f t="shared" si="9"/>
        <v>5.066666667</v>
      </c>
    </row>
    <row r="12" ht="15.75" customHeight="1">
      <c r="A12" s="74">
        <v>5.0</v>
      </c>
      <c r="B12" s="410" t="s">
        <v>412</v>
      </c>
      <c r="C12" s="65" t="s">
        <v>44</v>
      </c>
      <c r="D12" s="62">
        <v>5.0</v>
      </c>
      <c r="E12" s="62">
        <v>5.0</v>
      </c>
      <c r="F12" s="305">
        <f t="shared" si="1"/>
        <v>5</v>
      </c>
      <c r="G12" s="62">
        <v>5.0</v>
      </c>
      <c r="H12" s="62">
        <v>4.0</v>
      </c>
      <c r="I12" s="85">
        <f t="shared" si="2"/>
        <v>4.5</v>
      </c>
      <c r="J12" s="63">
        <v>5.0</v>
      </c>
      <c r="K12" s="361">
        <v>4.0</v>
      </c>
      <c r="L12" s="62">
        <v>4.0</v>
      </c>
      <c r="M12" s="62">
        <v>4.0</v>
      </c>
      <c r="N12" s="365">
        <f t="shared" si="3"/>
        <v>4</v>
      </c>
      <c r="O12" s="63">
        <v>5.0</v>
      </c>
      <c r="P12" s="62">
        <v>5.0</v>
      </c>
      <c r="Q12" s="62">
        <v>6.0</v>
      </c>
      <c r="R12" s="62">
        <v>4.0</v>
      </c>
      <c r="S12" s="63">
        <v>4.0</v>
      </c>
      <c r="T12" s="366">
        <f t="shared" si="4"/>
        <v>4.666666667</v>
      </c>
      <c r="U12" s="62">
        <v>5.0</v>
      </c>
      <c r="V12" s="62">
        <v>5.0</v>
      </c>
      <c r="W12" s="63">
        <v>5.0</v>
      </c>
      <c r="X12" s="68">
        <f t="shared" si="5"/>
        <v>5</v>
      </c>
      <c r="Y12" s="63">
        <v>5.0</v>
      </c>
      <c r="Z12" s="62">
        <v>4.0</v>
      </c>
      <c r="AA12" s="62">
        <v>5.0</v>
      </c>
      <c r="AB12" s="212">
        <f t="shared" si="6"/>
        <v>4.75</v>
      </c>
      <c r="AC12" s="250">
        <v>5.0</v>
      </c>
      <c r="AD12" s="250">
        <v>6.0</v>
      </c>
      <c r="AE12" s="213">
        <v>6.0</v>
      </c>
      <c r="AF12" s="63">
        <v>6.0</v>
      </c>
      <c r="AG12" s="67">
        <f t="shared" si="7"/>
        <v>6</v>
      </c>
      <c r="AH12" s="250">
        <v>5.0</v>
      </c>
      <c r="AI12" s="250">
        <v>4.0</v>
      </c>
      <c r="AJ12" s="213">
        <v>6.0</v>
      </c>
      <c r="AK12" s="63">
        <v>5.0</v>
      </c>
      <c r="AL12" s="70">
        <f t="shared" si="8"/>
        <v>5</v>
      </c>
      <c r="AM12" s="78">
        <f t="shared" si="9"/>
        <v>4.9</v>
      </c>
    </row>
    <row r="13" ht="15.75" customHeight="1">
      <c r="A13" s="74">
        <v>6.0</v>
      </c>
      <c r="B13" s="410" t="s">
        <v>413</v>
      </c>
      <c r="C13" s="65" t="s">
        <v>45</v>
      </c>
      <c r="D13" s="62">
        <v>6.0</v>
      </c>
      <c r="E13" s="62">
        <v>6.0</v>
      </c>
      <c r="F13" s="305">
        <f t="shared" si="1"/>
        <v>6</v>
      </c>
      <c r="G13" s="62">
        <v>6.0</v>
      </c>
      <c r="H13" s="62">
        <v>6.0</v>
      </c>
      <c r="I13" s="85">
        <f t="shared" si="2"/>
        <v>6</v>
      </c>
      <c r="J13" s="63">
        <v>6.0</v>
      </c>
      <c r="K13" s="361">
        <v>6.0</v>
      </c>
      <c r="L13" s="62">
        <v>6.0</v>
      </c>
      <c r="M13" s="62">
        <v>6.0</v>
      </c>
      <c r="N13" s="365">
        <v>6.0</v>
      </c>
      <c r="O13" s="63">
        <v>6.0</v>
      </c>
      <c r="P13" s="62">
        <v>6.0</v>
      </c>
      <c r="Q13" s="62">
        <v>6.0</v>
      </c>
      <c r="R13" s="62">
        <v>5.0</v>
      </c>
      <c r="S13" s="63">
        <v>5.0</v>
      </c>
      <c r="T13" s="366">
        <f t="shared" si="4"/>
        <v>5.333333333</v>
      </c>
      <c r="U13" s="62">
        <v>6.0</v>
      </c>
      <c r="V13" s="62">
        <v>6.0</v>
      </c>
      <c r="W13" s="63">
        <v>6.0</v>
      </c>
      <c r="X13" s="68">
        <f t="shared" si="5"/>
        <v>6</v>
      </c>
      <c r="Y13" s="63">
        <v>6.0</v>
      </c>
      <c r="Z13" s="62">
        <v>4.0</v>
      </c>
      <c r="AA13" s="62">
        <v>5.0</v>
      </c>
      <c r="AB13" s="212">
        <f t="shared" si="6"/>
        <v>5.25</v>
      </c>
      <c r="AC13" s="250">
        <v>5.0</v>
      </c>
      <c r="AD13" s="250">
        <v>6.0</v>
      </c>
      <c r="AE13" s="213">
        <v>6.0</v>
      </c>
      <c r="AF13" s="63">
        <v>6.0</v>
      </c>
      <c r="AG13" s="67">
        <f t="shared" si="7"/>
        <v>6</v>
      </c>
      <c r="AH13" s="250">
        <v>4.0</v>
      </c>
      <c r="AI13" s="250">
        <v>5.0</v>
      </c>
      <c r="AJ13" s="213">
        <v>6.0</v>
      </c>
      <c r="AK13" s="63">
        <v>6.0</v>
      </c>
      <c r="AL13" s="70">
        <f t="shared" si="8"/>
        <v>5.666666667</v>
      </c>
      <c r="AM13" s="78">
        <f t="shared" si="9"/>
        <v>5.566666667</v>
      </c>
    </row>
    <row r="14" ht="15.75" customHeight="1">
      <c r="A14" s="74">
        <v>7.0</v>
      </c>
      <c r="B14" s="410" t="s">
        <v>414</v>
      </c>
      <c r="C14" s="65" t="s">
        <v>44</v>
      </c>
      <c r="D14" s="62">
        <v>6.0</v>
      </c>
      <c r="E14" s="62">
        <v>6.0</v>
      </c>
      <c r="F14" s="305">
        <f t="shared" si="1"/>
        <v>6</v>
      </c>
      <c r="G14" s="62">
        <v>6.0</v>
      </c>
      <c r="H14" s="62">
        <v>6.0</v>
      </c>
      <c r="I14" s="85">
        <f t="shared" si="2"/>
        <v>6</v>
      </c>
      <c r="J14" s="63">
        <v>6.0</v>
      </c>
      <c r="K14" s="361">
        <v>6.0</v>
      </c>
      <c r="L14" s="62">
        <v>6.0</v>
      </c>
      <c r="M14" s="62">
        <v>6.0</v>
      </c>
      <c r="N14" s="365">
        <f t="shared" ref="N14:N36" si="10">SUM(L14:M14)/2</f>
        <v>6</v>
      </c>
      <c r="O14" s="63">
        <v>6.0</v>
      </c>
      <c r="P14" s="62">
        <v>5.0</v>
      </c>
      <c r="Q14" s="62">
        <v>6.0</v>
      </c>
      <c r="R14" s="62">
        <v>5.0</v>
      </c>
      <c r="S14" s="63">
        <v>6.0</v>
      </c>
      <c r="T14" s="366">
        <f t="shared" si="4"/>
        <v>5.666666667</v>
      </c>
      <c r="U14" s="62">
        <v>5.0</v>
      </c>
      <c r="V14" s="62">
        <v>6.0</v>
      </c>
      <c r="W14" s="63">
        <v>6.0</v>
      </c>
      <c r="X14" s="68">
        <f t="shared" si="5"/>
        <v>5.666666667</v>
      </c>
      <c r="Y14" s="63">
        <v>6.0</v>
      </c>
      <c r="Z14" s="62">
        <v>6.0</v>
      </c>
      <c r="AA14" s="62">
        <v>6.0</v>
      </c>
      <c r="AB14" s="212">
        <f t="shared" si="6"/>
        <v>5.916666667</v>
      </c>
      <c r="AC14" s="250">
        <v>5.0</v>
      </c>
      <c r="AD14" s="250">
        <v>6.0</v>
      </c>
      <c r="AE14" s="213">
        <v>6.0</v>
      </c>
      <c r="AF14" s="63">
        <v>6.0</v>
      </c>
      <c r="AG14" s="67">
        <f t="shared" si="7"/>
        <v>6</v>
      </c>
      <c r="AH14" s="250">
        <v>5.0</v>
      </c>
      <c r="AI14" s="250">
        <v>6.0</v>
      </c>
      <c r="AJ14" s="213">
        <v>6.0</v>
      </c>
      <c r="AK14" s="63">
        <v>6.0</v>
      </c>
      <c r="AL14" s="70">
        <f t="shared" si="8"/>
        <v>6</v>
      </c>
      <c r="AM14" s="78">
        <f t="shared" si="9"/>
        <v>5.5</v>
      </c>
    </row>
    <row r="15" ht="15.75" customHeight="1">
      <c r="A15" s="74">
        <v>8.0</v>
      </c>
      <c r="B15" s="410" t="s">
        <v>415</v>
      </c>
      <c r="C15" s="65" t="s">
        <v>45</v>
      </c>
      <c r="D15" s="62">
        <v>5.0</v>
      </c>
      <c r="E15" s="62">
        <v>4.0</v>
      </c>
      <c r="F15" s="305">
        <f t="shared" si="1"/>
        <v>4.5</v>
      </c>
      <c r="G15" s="62">
        <v>5.0</v>
      </c>
      <c r="H15" s="62">
        <v>6.0</v>
      </c>
      <c r="I15" s="85">
        <f t="shared" si="2"/>
        <v>5.5</v>
      </c>
      <c r="J15" s="63">
        <v>5.0</v>
      </c>
      <c r="K15" s="361">
        <v>4.0</v>
      </c>
      <c r="L15" s="62">
        <v>3.0</v>
      </c>
      <c r="M15" s="62">
        <v>3.0</v>
      </c>
      <c r="N15" s="365">
        <f t="shared" si="10"/>
        <v>3</v>
      </c>
      <c r="O15" s="63">
        <v>4.0</v>
      </c>
      <c r="P15" s="62">
        <v>4.0</v>
      </c>
      <c r="Q15" s="62">
        <v>5.0</v>
      </c>
      <c r="R15" s="62">
        <v>5.0</v>
      </c>
      <c r="S15" s="63">
        <v>5.0</v>
      </c>
      <c r="T15" s="366">
        <f t="shared" si="4"/>
        <v>5</v>
      </c>
      <c r="U15" s="62">
        <v>4.0</v>
      </c>
      <c r="V15" s="62">
        <v>4.0</v>
      </c>
      <c r="W15" s="63">
        <v>5.0</v>
      </c>
      <c r="X15" s="68">
        <f t="shared" si="5"/>
        <v>4.333333333</v>
      </c>
      <c r="Y15" s="63">
        <v>4.0</v>
      </c>
      <c r="Z15" s="62">
        <v>4.0</v>
      </c>
      <c r="AA15" s="62">
        <v>4.0</v>
      </c>
      <c r="AB15" s="212">
        <f t="shared" si="6"/>
        <v>4.083333333</v>
      </c>
      <c r="AC15" s="250">
        <v>5.0</v>
      </c>
      <c r="AD15" s="250">
        <v>5.0</v>
      </c>
      <c r="AE15" s="213">
        <v>6.0</v>
      </c>
      <c r="AF15" s="63">
        <v>5.0</v>
      </c>
      <c r="AG15" s="67">
        <f t="shared" si="7"/>
        <v>5.333333333</v>
      </c>
      <c r="AH15" s="250">
        <v>4.0</v>
      </c>
      <c r="AI15" s="250">
        <v>5.0</v>
      </c>
      <c r="AJ15" s="213">
        <v>5.0</v>
      </c>
      <c r="AK15" s="63">
        <v>5.0</v>
      </c>
      <c r="AL15" s="70">
        <f t="shared" si="8"/>
        <v>5</v>
      </c>
      <c r="AM15" s="78">
        <f t="shared" si="9"/>
        <v>4.3</v>
      </c>
    </row>
    <row r="16" ht="15.75" customHeight="1">
      <c r="A16" s="74">
        <v>9.0</v>
      </c>
      <c r="B16" s="410" t="s">
        <v>416</v>
      </c>
      <c r="C16" s="65" t="s">
        <v>44</v>
      </c>
      <c r="D16" s="62">
        <v>5.0</v>
      </c>
      <c r="E16" s="62">
        <v>4.0</v>
      </c>
      <c r="F16" s="305">
        <f t="shared" si="1"/>
        <v>4.5</v>
      </c>
      <c r="G16" s="62">
        <v>5.0</v>
      </c>
      <c r="H16" s="62">
        <v>4.0</v>
      </c>
      <c r="I16" s="85">
        <f t="shared" si="2"/>
        <v>4.5</v>
      </c>
      <c r="J16" s="63">
        <v>5.0</v>
      </c>
      <c r="K16" s="361">
        <v>4.0</v>
      </c>
      <c r="L16" s="62">
        <v>4.0</v>
      </c>
      <c r="M16" s="62">
        <v>4.0</v>
      </c>
      <c r="N16" s="365">
        <f t="shared" si="10"/>
        <v>4</v>
      </c>
      <c r="O16" s="63">
        <v>6.0</v>
      </c>
      <c r="P16" s="62">
        <v>4.0</v>
      </c>
      <c r="Q16" s="62">
        <v>4.0</v>
      </c>
      <c r="R16" s="62">
        <v>4.0</v>
      </c>
      <c r="S16" s="63">
        <v>4.0</v>
      </c>
      <c r="T16" s="366">
        <f t="shared" si="4"/>
        <v>4</v>
      </c>
      <c r="U16" s="62">
        <v>4.0</v>
      </c>
      <c r="V16" s="62">
        <v>5.0</v>
      </c>
      <c r="W16" s="63">
        <v>6.0</v>
      </c>
      <c r="X16" s="68">
        <f t="shared" si="5"/>
        <v>5</v>
      </c>
      <c r="Y16" s="63">
        <v>4.0</v>
      </c>
      <c r="Z16" s="62">
        <v>4.0</v>
      </c>
      <c r="AA16" s="62">
        <v>4.0</v>
      </c>
      <c r="AB16" s="212">
        <f t="shared" si="6"/>
        <v>4.25</v>
      </c>
      <c r="AC16" s="250">
        <v>5.0</v>
      </c>
      <c r="AD16" s="250">
        <v>6.0</v>
      </c>
      <c r="AE16" s="213">
        <v>5.0</v>
      </c>
      <c r="AF16" s="63">
        <v>5.0</v>
      </c>
      <c r="AG16" s="67">
        <f t="shared" si="7"/>
        <v>5.333333333</v>
      </c>
      <c r="AH16" s="250">
        <v>4.0</v>
      </c>
      <c r="AI16" s="250">
        <v>3.0</v>
      </c>
      <c r="AJ16" s="213">
        <v>4.0</v>
      </c>
      <c r="AK16" s="63">
        <v>4.0</v>
      </c>
      <c r="AL16" s="70">
        <f t="shared" si="8"/>
        <v>3.666666667</v>
      </c>
      <c r="AM16" s="78">
        <f t="shared" si="9"/>
        <v>4.266666667</v>
      </c>
    </row>
    <row r="17" ht="15.75" customHeight="1">
      <c r="A17" s="74">
        <v>10.0</v>
      </c>
      <c r="B17" s="410" t="s">
        <v>417</v>
      </c>
      <c r="C17" s="65" t="s">
        <v>45</v>
      </c>
      <c r="D17" s="62">
        <v>5.0</v>
      </c>
      <c r="E17" s="62">
        <v>4.0</v>
      </c>
      <c r="F17" s="305">
        <f t="shared" si="1"/>
        <v>4.5</v>
      </c>
      <c r="G17" s="62">
        <v>5.0</v>
      </c>
      <c r="H17" s="62">
        <v>4.0</v>
      </c>
      <c r="I17" s="85">
        <f t="shared" si="2"/>
        <v>4.5</v>
      </c>
      <c r="J17" s="63">
        <v>5.0</v>
      </c>
      <c r="K17" s="361">
        <v>4.0</v>
      </c>
      <c r="L17" s="62">
        <v>5.0</v>
      </c>
      <c r="M17" s="62">
        <v>5.0</v>
      </c>
      <c r="N17" s="365">
        <f t="shared" si="10"/>
        <v>5</v>
      </c>
      <c r="O17" s="63">
        <v>5.0</v>
      </c>
      <c r="P17" s="62">
        <v>5.0</v>
      </c>
      <c r="Q17" s="62">
        <v>4.0</v>
      </c>
      <c r="R17" s="62">
        <v>4.0</v>
      </c>
      <c r="S17" s="63">
        <v>4.0</v>
      </c>
      <c r="T17" s="366">
        <f t="shared" si="4"/>
        <v>4</v>
      </c>
      <c r="U17" s="62">
        <v>5.0</v>
      </c>
      <c r="V17" s="62">
        <v>5.0</v>
      </c>
      <c r="W17" s="63">
        <v>4.0</v>
      </c>
      <c r="X17" s="68">
        <f t="shared" si="5"/>
        <v>4.666666667</v>
      </c>
      <c r="Y17" s="63">
        <v>5.0</v>
      </c>
      <c r="Z17" s="62">
        <v>4.0</v>
      </c>
      <c r="AA17" s="62">
        <v>4.0</v>
      </c>
      <c r="AB17" s="212">
        <f t="shared" si="6"/>
        <v>4.416666667</v>
      </c>
      <c r="AC17" s="250">
        <v>5.0</v>
      </c>
      <c r="AD17" s="250">
        <v>5.0</v>
      </c>
      <c r="AE17" s="213">
        <v>4.0</v>
      </c>
      <c r="AF17" s="63">
        <v>4.0</v>
      </c>
      <c r="AG17" s="67">
        <f t="shared" si="7"/>
        <v>4.333333333</v>
      </c>
      <c r="AH17" s="250">
        <v>4.0</v>
      </c>
      <c r="AI17" s="250">
        <v>4.0</v>
      </c>
      <c r="AJ17" s="213">
        <v>4.0</v>
      </c>
      <c r="AK17" s="63">
        <v>4.0</v>
      </c>
      <c r="AL17" s="70">
        <f t="shared" si="8"/>
        <v>4</v>
      </c>
      <c r="AM17" s="78">
        <f t="shared" si="9"/>
        <v>4.6</v>
      </c>
    </row>
    <row r="18" ht="15.75" customHeight="1">
      <c r="A18" s="74">
        <v>11.0</v>
      </c>
      <c r="B18" s="410" t="s">
        <v>418</v>
      </c>
      <c r="C18" s="65" t="s">
        <v>44</v>
      </c>
      <c r="D18" s="62">
        <v>3.0</v>
      </c>
      <c r="E18" s="62">
        <v>3.0</v>
      </c>
      <c r="F18" s="305">
        <f t="shared" si="1"/>
        <v>3</v>
      </c>
      <c r="G18" s="62">
        <v>3.0</v>
      </c>
      <c r="H18" s="62">
        <v>3.0</v>
      </c>
      <c r="I18" s="85">
        <f t="shared" si="2"/>
        <v>3</v>
      </c>
      <c r="J18" s="63">
        <v>4.0</v>
      </c>
      <c r="K18" s="361">
        <v>3.0</v>
      </c>
      <c r="L18" s="62">
        <v>3.0</v>
      </c>
      <c r="M18" s="62">
        <v>3.0</v>
      </c>
      <c r="N18" s="365">
        <f t="shared" si="10"/>
        <v>3</v>
      </c>
      <c r="O18" s="63">
        <v>4.0</v>
      </c>
      <c r="P18" s="62">
        <v>3.0</v>
      </c>
      <c r="Q18" s="62">
        <v>4.0</v>
      </c>
      <c r="R18" s="62">
        <v>3.0</v>
      </c>
      <c r="S18" s="63">
        <v>3.0</v>
      </c>
      <c r="T18" s="366">
        <f t="shared" si="4"/>
        <v>3.333333333</v>
      </c>
      <c r="U18" s="62">
        <v>3.0</v>
      </c>
      <c r="V18" s="62">
        <v>3.0</v>
      </c>
      <c r="W18" s="63">
        <v>4.0</v>
      </c>
      <c r="X18" s="68">
        <f t="shared" si="5"/>
        <v>3.333333333</v>
      </c>
      <c r="Y18" s="63">
        <v>3.0</v>
      </c>
      <c r="Z18" s="62">
        <v>3.0</v>
      </c>
      <c r="AA18" s="62">
        <v>3.0</v>
      </c>
      <c r="AB18" s="212">
        <f t="shared" si="6"/>
        <v>3.083333333</v>
      </c>
      <c r="AC18" s="250">
        <v>4.0</v>
      </c>
      <c r="AD18" s="250">
        <v>3.0</v>
      </c>
      <c r="AE18" s="213">
        <v>3.0</v>
      </c>
      <c r="AF18" s="63">
        <v>3.0</v>
      </c>
      <c r="AG18" s="67">
        <f t="shared" si="7"/>
        <v>3</v>
      </c>
      <c r="AH18" s="250">
        <v>3.0</v>
      </c>
      <c r="AI18" s="250">
        <v>3.0</v>
      </c>
      <c r="AJ18" s="213">
        <v>3.0</v>
      </c>
      <c r="AK18" s="63">
        <v>3.0</v>
      </c>
      <c r="AL18" s="70">
        <f t="shared" si="8"/>
        <v>3</v>
      </c>
      <c r="AM18" s="78">
        <f t="shared" si="9"/>
        <v>3.3</v>
      </c>
    </row>
    <row r="19" ht="15.75" customHeight="1">
      <c r="A19" s="74">
        <v>12.0</v>
      </c>
      <c r="B19" s="410" t="s">
        <v>419</v>
      </c>
      <c r="C19" s="65" t="s">
        <v>44</v>
      </c>
      <c r="D19" s="62">
        <v>5.0</v>
      </c>
      <c r="E19" s="62">
        <v>5.0</v>
      </c>
      <c r="F19" s="305">
        <f t="shared" si="1"/>
        <v>5</v>
      </c>
      <c r="G19" s="62">
        <v>5.0</v>
      </c>
      <c r="H19" s="62">
        <v>5.0</v>
      </c>
      <c r="I19" s="85">
        <f t="shared" si="2"/>
        <v>5</v>
      </c>
      <c r="J19" s="63">
        <v>6.0</v>
      </c>
      <c r="K19" s="361">
        <v>6.0</v>
      </c>
      <c r="L19" s="62">
        <v>6.0</v>
      </c>
      <c r="M19" s="62">
        <v>6.0</v>
      </c>
      <c r="N19" s="365">
        <f t="shared" si="10"/>
        <v>6</v>
      </c>
      <c r="O19" s="63">
        <v>6.0</v>
      </c>
      <c r="P19" s="62">
        <v>5.0</v>
      </c>
      <c r="Q19" s="62">
        <v>5.0</v>
      </c>
      <c r="R19" s="62">
        <v>6.0</v>
      </c>
      <c r="S19" s="63">
        <v>6.0</v>
      </c>
      <c r="T19" s="366">
        <f t="shared" si="4"/>
        <v>5.666666667</v>
      </c>
      <c r="U19" s="62">
        <v>5.0</v>
      </c>
      <c r="V19" s="62">
        <v>6.0</v>
      </c>
      <c r="W19" s="63">
        <v>6.0</v>
      </c>
      <c r="X19" s="68">
        <f t="shared" si="5"/>
        <v>5.666666667</v>
      </c>
      <c r="Y19" s="63">
        <v>5.0</v>
      </c>
      <c r="Z19" s="62">
        <v>6.0</v>
      </c>
      <c r="AA19" s="62">
        <v>6.0</v>
      </c>
      <c r="AB19" s="212">
        <f t="shared" si="6"/>
        <v>5.666666667</v>
      </c>
      <c r="AC19" s="250">
        <v>6.0</v>
      </c>
      <c r="AD19" s="250">
        <v>6.0</v>
      </c>
      <c r="AE19" s="213">
        <v>6.0</v>
      </c>
      <c r="AF19" s="63">
        <v>6.0</v>
      </c>
      <c r="AG19" s="67">
        <f t="shared" si="7"/>
        <v>6</v>
      </c>
      <c r="AH19" s="250">
        <v>5.0</v>
      </c>
      <c r="AI19" s="250">
        <v>5.0</v>
      </c>
      <c r="AJ19" s="213">
        <v>5.0</v>
      </c>
      <c r="AK19" s="63">
        <v>5.0</v>
      </c>
      <c r="AL19" s="70">
        <f t="shared" si="8"/>
        <v>5</v>
      </c>
      <c r="AM19" s="78">
        <f t="shared" si="9"/>
        <v>5.4</v>
      </c>
    </row>
    <row r="20" ht="15.75" customHeight="1">
      <c r="A20" s="74">
        <v>13.0</v>
      </c>
      <c r="B20" s="410" t="s">
        <v>420</v>
      </c>
      <c r="C20" s="65" t="s">
        <v>44</v>
      </c>
      <c r="D20" s="62">
        <v>3.0</v>
      </c>
      <c r="E20" s="62">
        <v>4.0</v>
      </c>
      <c r="F20" s="305">
        <f t="shared" si="1"/>
        <v>3.5</v>
      </c>
      <c r="G20" s="62">
        <v>5.0</v>
      </c>
      <c r="H20" s="62">
        <v>5.0</v>
      </c>
      <c r="I20" s="85">
        <f t="shared" si="2"/>
        <v>5</v>
      </c>
      <c r="J20" s="63">
        <v>5.0</v>
      </c>
      <c r="K20" s="361">
        <v>4.0</v>
      </c>
      <c r="L20" s="62">
        <v>4.0</v>
      </c>
      <c r="M20" s="62">
        <v>4.0</v>
      </c>
      <c r="N20" s="365">
        <f t="shared" si="10"/>
        <v>4</v>
      </c>
      <c r="O20" s="63">
        <v>4.0</v>
      </c>
      <c r="P20" s="62">
        <v>5.0</v>
      </c>
      <c r="Q20" s="62">
        <v>4.0</v>
      </c>
      <c r="R20" s="62">
        <v>4.0</v>
      </c>
      <c r="S20" s="63">
        <v>5.0</v>
      </c>
      <c r="T20" s="366">
        <f t="shared" si="4"/>
        <v>4.333333333</v>
      </c>
      <c r="U20" s="62">
        <v>5.0</v>
      </c>
      <c r="V20" s="62">
        <v>4.0</v>
      </c>
      <c r="W20" s="63">
        <v>5.0</v>
      </c>
      <c r="X20" s="68">
        <f t="shared" si="5"/>
        <v>4.666666667</v>
      </c>
      <c r="Y20" s="63">
        <v>5.0</v>
      </c>
      <c r="Z20" s="62">
        <v>4.0</v>
      </c>
      <c r="AA20" s="62">
        <v>5.0</v>
      </c>
      <c r="AB20" s="212">
        <f t="shared" si="6"/>
        <v>4.666666667</v>
      </c>
      <c r="AC20" s="250">
        <v>5.0</v>
      </c>
      <c r="AD20" s="250">
        <v>4.0</v>
      </c>
      <c r="AE20" s="213">
        <v>5.0</v>
      </c>
      <c r="AF20" s="63">
        <v>5.0</v>
      </c>
      <c r="AG20" s="67">
        <f t="shared" si="7"/>
        <v>4.666666667</v>
      </c>
      <c r="AH20" s="250">
        <v>5.0</v>
      </c>
      <c r="AI20" s="250">
        <v>4.0</v>
      </c>
      <c r="AJ20" s="213">
        <v>5.0</v>
      </c>
      <c r="AK20" s="63">
        <v>5.0</v>
      </c>
      <c r="AL20" s="70">
        <f t="shared" si="8"/>
        <v>4.666666667</v>
      </c>
      <c r="AM20" s="78">
        <f t="shared" si="9"/>
        <v>4.566666667</v>
      </c>
    </row>
    <row r="21" ht="15.75" customHeight="1">
      <c r="A21" s="74">
        <v>14.0</v>
      </c>
      <c r="B21" s="410" t="s">
        <v>421</v>
      </c>
      <c r="C21" s="65" t="s">
        <v>44</v>
      </c>
      <c r="D21" s="62">
        <v>3.0</v>
      </c>
      <c r="E21" s="62">
        <v>5.0</v>
      </c>
      <c r="F21" s="305">
        <f t="shared" si="1"/>
        <v>4</v>
      </c>
      <c r="G21" s="62">
        <v>5.0</v>
      </c>
      <c r="H21" s="62">
        <v>5.0</v>
      </c>
      <c r="I21" s="85">
        <f t="shared" si="2"/>
        <v>5</v>
      </c>
      <c r="J21" s="63">
        <v>4.0</v>
      </c>
      <c r="K21" s="361">
        <v>4.0</v>
      </c>
      <c r="L21" s="62">
        <v>4.0</v>
      </c>
      <c r="M21" s="62">
        <v>4.0</v>
      </c>
      <c r="N21" s="365">
        <f t="shared" si="10"/>
        <v>4</v>
      </c>
      <c r="O21" s="63">
        <v>5.0</v>
      </c>
      <c r="P21" s="62">
        <v>5.0</v>
      </c>
      <c r="Q21" s="62">
        <v>4.0</v>
      </c>
      <c r="R21" s="62">
        <v>4.0</v>
      </c>
      <c r="S21" s="63">
        <v>4.0</v>
      </c>
      <c r="T21" s="366">
        <f t="shared" si="4"/>
        <v>4</v>
      </c>
      <c r="U21" s="62">
        <v>5.0</v>
      </c>
      <c r="V21" s="62">
        <v>4.0</v>
      </c>
      <c r="W21" s="63">
        <v>4.0</v>
      </c>
      <c r="X21" s="68">
        <f t="shared" si="5"/>
        <v>4.333333333</v>
      </c>
      <c r="Y21" s="63">
        <v>5.0</v>
      </c>
      <c r="Z21" s="62">
        <v>5.0</v>
      </c>
      <c r="AA21" s="62">
        <v>4.0</v>
      </c>
      <c r="AB21" s="212">
        <f t="shared" si="6"/>
        <v>4.583333333</v>
      </c>
      <c r="AC21" s="250">
        <v>5.0</v>
      </c>
      <c r="AD21" s="250">
        <v>5.0</v>
      </c>
      <c r="AE21" s="213">
        <v>5.0</v>
      </c>
      <c r="AF21" s="63">
        <v>5.0</v>
      </c>
      <c r="AG21" s="67">
        <f t="shared" si="7"/>
        <v>5</v>
      </c>
      <c r="AH21" s="250">
        <v>5.0</v>
      </c>
      <c r="AI21" s="250">
        <v>4.0</v>
      </c>
      <c r="AJ21" s="213">
        <v>4.0</v>
      </c>
      <c r="AK21" s="63">
        <v>4.0</v>
      </c>
      <c r="AL21" s="70">
        <f t="shared" si="8"/>
        <v>4</v>
      </c>
      <c r="AM21" s="78">
        <f t="shared" si="9"/>
        <v>4.6</v>
      </c>
    </row>
    <row r="22" ht="15.75" customHeight="1">
      <c r="A22" s="74">
        <v>15.0</v>
      </c>
      <c r="B22" s="410" t="s">
        <v>422</v>
      </c>
      <c r="C22" s="65" t="s">
        <v>44</v>
      </c>
      <c r="D22" s="62">
        <v>3.0</v>
      </c>
      <c r="E22" s="62">
        <v>4.0</v>
      </c>
      <c r="F22" s="305">
        <f t="shared" si="1"/>
        <v>3.5</v>
      </c>
      <c r="G22" s="62">
        <v>5.0</v>
      </c>
      <c r="H22" s="62">
        <v>3.0</v>
      </c>
      <c r="I22" s="85">
        <f t="shared" si="2"/>
        <v>4</v>
      </c>
      <c r="J22" s="63">
        <v>3.0</v>
      </c>
      <c r="K22" s="361">
        <v>3.0</v>
      </c>
      <c r="L22" s="62">
        <v>3.0</v>
      </c>
      <c r="M22" s="62">
        <v>4.0</v>
      </c>
      <c r="N22" s="365">
        <f t="shared" si="10"/>
        <v>3.5</v>
      </c>
      <c r="O22" s="63">
        <v>4.0</v>
      </c>
      <c r="P22" s="62">
        <v>5.0</v>
      </c>
      <c r="Q22" s="62">
        <v>3.0</v>
      </c>
      <c r="R22" s="62">
        <v>4.0</v>
      </c>
      <c r="S22" s="63">
        <v>3.0</v>
      </c>
      <c r="T22" s="366">
        <f t="shared" si="4"/>
        <v>3.333333333</v>
      </c>
      <c r="U22" s="62">
        <v>5.0</v>
      </c>
      <c r="V22" s="62">
        <v>3.0</v>
      </c>
      <c r="W22" s="63">
        <v>3.0</v>
      </c>
      <c r="X22" s="68">
        <f t="shared" si="5"/>
        <v>3.666666667</v>
      </c>
      <c r="Y22" s="63">
        <v>5.0</v>
      </c>
      <c r="Z22" s="62">
        <v>4.0</v>
      </c>
      <c r="AA22" s="62">
        <v>4.0</v>
      </c>
      <c r="AB22" s="212">
        <f t="shared" si="6"/>
        <v>4.166666667</v>
      </c>
      <c r="AC22" s="250">
        <v>5.0</v>
      </c>
      <c r="AD22" s="250">
        <v>5.0</v>
      </c>
      <c r="AE22" s="213">
        <v>5.0</v>
      </c>
      <c r="AF22" s="63">
        <v>5.0</v>
      </c>
      <c r="AG22" s="67">
        <f t="shared" si="7"/>
        <v>5</v>
      </c>
      <c r="AH22" s="250">
        <v>4.0</v>
      </c>
      <c r="AI22" s="250">
        <v>3.0</v>
      </c>
      <c r="AJ22" s="213">
        <v>3.0</v>
      </c>
      <c r="AK22" s="63">
        <v>3.0</v>
      </c>
      <c r="AL22" s="70">
        <f t="shared" si="8"/>
        <v>3</v>
      </c>
      <c r="AM22" s="78">
        <f t="shared" si="9"/>
        <v>4.1</v>
      </c>
    </row>
    <row r="23" ht="15.75" customHeight="1">
      <c r="A23" s="74">
        <v>16.0</v>
      </c>
      <c r="B23" s="410" t="s">
        <v>423</v>
      </c>
      <c r="C23" s="65" t="s">
        <v>44</v>
      </c>
      <c r="D23" s="62">
        <v>2.0</v>
      </c>
      <c r="E23" s="62">
        <v>2.0</v>
      </c>
      <c r="F23" s="305">
        <f t="shared" si="1"/>
        <v>2</v>
      </c>
      <c r="G23" s="62">
        <v>3.0</v>
      </c>
      <c r="H23" s="62">
        <v>3.0</v>
      </c>
      <c r="I23" s="85">
        <f t="shared" si="2"/>
        <v>3</v>
      </c>
      <c r="J23" s="63">
        <v>3.0</v>
      </c>
      <c r="K23" s="361">
        <v>3.0</v>
      </c>
      <c r="L23" s="62">
        <v>3.0</v>
      </c>
      <c r="M23" s="62">
        <v>3.0</v>
      </c>
      <c r="N23" s="365">
        <f t="shared" si="10"/>
        <v>3</v>
      </c>
      <c r="O23" s="63">
        <v>3.0</v>
      </c>
      <c r="P23" s="62">
        <v>3.0</v>
      </c>
      <c r="Q23" s="62">
        <v>3.0</v>
      </c>
      <c r="R23" s="62">
        <v>3.0</v>
      </c>
      <c r="S23" s="63">
        <v>3.0</v>
      </c>
      <c r="T23" s="366">
        <f t="shared" si="4"/>
        <v>3</v>
      </c>
      <c r="U23" s="62">
        <v>3.0</v>
      </c>
      <c r="V23" s="62">
        <v>3.0</v>
      </c>
      <c r="W23" s="63">
        <v>3.0</v>
      </c>
      <c r="X23" s="68">
        <f t="shared" si="5"/>
        <v>3</v>
      </c>
      <c r="Y23" s="63">
        <v>5.0</v>
      </c>
      <c r="Z23" s="62">
        <v>3.0</v>
      </c>
      <c r="AA23" s="62">
        <v>3.0</v>
      </c>
      <c r="AB23" s="212">
        <f t="shared" si="6"/>
        <v>3.5</v>
      </c>
      <c r="AC23" s="250">
        <v>4.0</v>
      </c>
      <c r="AD23" s="250">
        <v>4.0</v>
      </c>
      <c r="AE23" s="213">
        <v>4.0</v>
      </c>
      <c r="AF23" s="63">
        <v>4.0</v>
      </c>
      <c r="AG23" s="67">
        <f t="shared" si="7"/>
        <v>4</v>
      </c>
      <c r="AH23" s="250">
        <v>3.0</v>
      </c>
      <c r="AI23" s="250">
        <v>2.0</v>
      </c>
      <c r="AJ23" s="213">
        <v>2.0</v>
      </c>
      <c r="AK23" s="63">
        <v>2.0</v>
      </c>
      <c r="AL23" s="70">
        <f t="shared" si="8"/>
        <v>2</v>
      </c>
      <c r="AM23" s="78">
        <f t="shared" si="9"/>
        <v>3.2</v>
      </c>
    </row>
    <row r="24" ht="15.75" customHeight="1">
      <c r="A24" s="74">
        <v>17.0</v>
      </c>
      <c r="B24" s="410" t="s">
        <v>424</v>
      </c>
      <c r="C24" s="65" t="s">
        <v>44</v>
      </c>
      <c r="D24" s="62">
        <v>4.0</v>
      </c>
      <c r="E24" s="62">
        <v>4.0</v>
      </c>
      <c r="F24" s="305">
        <f t="shared" si="1"/>
        <v>4</v>
      </c>
      <c r="G24" s="62">
        <v>5.0</v>
      </c>
      <c r="H24" s="62">
        <v>4.0</v>
      </c>
      <c r="I24" s="85">
        <f t="shared" si="2"/>
        <v>4.5</v>
      </c>
      <c r="J24" s="63">
        <v>4.0</v>
      </c>
      <c r="K24" s="361">
        <v>4.0</v>
      </c>
      <c r="L24" s="62">
        <v>4.0</v>
      </c>
      <c r="M24" s="62">
        <v>4.0</v>
      </c>
      <c r="N24" s="365">
        <f t="shared" si="10"/>
        <v>4</v>
      </c>
      <c r="O24" s="63">
        <v>4.0</v>
      </c>
      <c r="P24" s="62">
        <v>5.0</v>
      </c>
      <c r="Q24" s="62">
        <v>5.0</v>
      </c>
      <c r="R24" s="62">
        <v>5.0</v>
      </c>
      <c r="S24" s="63">
        <v>4.0</v>
      </c>
      <c r="T24" s="366">
        <f t="shared" si="4"/>
        <v>4.666666667</v>
      </c>
      <c r="U24" s="62">
        <v>5.0</v>
      </c>
      <c r="V24" s="62">
        <v>5.0</v>
      </c>
      <c r="W24" s="63">
        <v>5.0</v>
      </c>
      <c r="X24" s="68">
        <f t="shared" si="5"/>
        <v>5</v>
      </c>
      <c r="Y24" s="63">
        <v>5.0</v>
      </c>
      <c r="Z24" s="62">
        <v>4.0</v>
      </c>
      <c r="AA24" s="62">
        <v>5.0</v>
      </c>
      <c r="AB24" s="212">
        <f t="shared" si="6"/>
        <v>4.75</v>
      </c>
      <c r="AC24" s="250">
        <v>5.0</v>
      </c>
      <c r="AD24" s="250">
        <v>5.0</v>
      </c>
      <c r="AE24" s="213">
        <v>5.0</v>
      </c>
      <c r="AF24" s="63">
        <v>6.0</v>
      </c>
      <c r="AG24" s="67">
        <f t="shared" si="7"/>
        <v>5.333333333</v>
      </c>
      <c r="AH24" s="250">
        <v>4.0</v>
      </c>
      <c r="AI24" s="250">
        <v>4.0</v>
      </c>
      <c r="AJ24" s="213">
        <v>4.0</v>
      </c>
      <c r="AK24" s="63">
        <v>4.0</v>
      </c>
      <c r="AL24" s="70">
        <f t="shared" si="8"/>
        <v>4</v>
      </c>
      <c r="AM24" s="78">
        <f t="shared" si="9"/>
        <v>4.6</v>
      </c>
    </row>
    <row r="25" ht="15.75" customHeight="1">
      <c r="A25" s="74">
        <v>18.0</v>
      </c>
      <c r="B25" s="410" t="s">
        <v>425</v>
      </c>
      <c r="C25" s="65" t="s">
        <v>44</v>
      </c>
      <c r="D25" s="62">
        <v>4.0</v>
      </c>
      <c r="E25" s="62">
        <v>4.0</v>
      </c>
      <c r="F25" s="305">
        <f t="shared" si="1"/>
        <v>4</v>
      </c>
      <c r="G25" s="62">
        <v>5.0</v>
      </c>
      <c r="H25" s="62">
        <v>4.0</v>
      </c>
      <c r="I25" s="85">
        <f t="shared" si="2"/>
        <v>4.5</v>
      </c>
      <c r="J25" s="63">
        <v>4.0</v>
      </c>
      <c r="K25" s="361">
        <v>4.0</v>
      </c>
      <c r="L25" s="62">
        <v>4.0</v>
      </c>
      <c r="M25" s="62">
        <v>4.0</v>
      </c>
      <c r="N25" s="365">
        <f t="shared" si="10"/>
        <v>4</v>
      </c>
      <c r="O25" s="63">
        <v>4.0</v>
      </c>
      <c r="P25" s="62">
        <v>5.0</v>
      </c>
      <c r="Q25" s="62">
        <v>3.0</v>
      </c>
      <c r="R25" s="62">
        <v>4.0</v>
      </c>
      <c r="S25" s="63">
        <v>4.0</v>
      </c>
      <c r="T25" s="366">
        <f t="shared" si="4"/>
        <v>3.666666667</v>
      </c>
      <c r="U25" s="62">
        <v>5.0</v>
      </c>
      <c r="V25" s="62">
        <v>5.0</v>
      </c>
      <c r="W25" s="63">
        <v>4.0</v>
      </c>
      <c r="X25" s="68">
        <f t="shared" si="5"/>
        <v>4.666666667</v>
      </c>
      <c r="Y25" s="63">
        <v>5.0</v>
      </c>
      <c r="Z25" s="62">
        <v>4.0</v>
      </c>
      <c r="AA25" s="62">
        <v>5.0</v>
      </c>
      <c r="AB25" s="212">
        <f t="shared" si="6"/>
        <v>4.666666667</v>
      </c>
      <c r="AC25" s="250">
        <v>5.0</v>
      </c>
      <c r="AD25" s="250">
        <v>5.0</v>
      </c>
      <c r="AE25" s="213">
        <v>5.0</v>
      </c>
      <c r="AF25" s="63">
        <v>5.0</v>
      </c>
      <c r="AG25" s="67">
        <f t="shared" si="7"/>
        <v>5</v>
      </c>
      <c r="AH25" s="250">
        <v>4.0</v>
      </c>
      <c r="AI25" s="250">
        <v>4.0</v>
      </c>
      <c r="AJ25" s="213">
        <v>4.0</v>
      </c>
      <c r="AK25" s="63">
        <v>4.0</v>
      </c>
      <c r="AL25" s="70">
        <f t="shared" si="8"/>
        <v>4</v>
      </c>
      <c r="AM25" s="78">
        <f t="shared" si="9"/>
        <v>4.3</v>
      </c>
    </row>
    <row r="26" ht="15.75" customHeight="1">
      <c r="A26" s="74">
        <v>19.0</v>
      </c>
      <c r="B26" s="410" t="s">
        <v>426</v>
      </c>
      <c r="C26" s="65" t="s">
        <v>44</v>
      </c>
      <c r="D26" s="62">
        <v>3.0</v>
      </c>
      <c r="E26" s="62">
        <v>3.0</v>
      </c>
      <c r="F26" s="305">
        <f t="shared" si="1"/>
        <v>3</v>
      </c>
      <c r="G26" s="62">
        <v>3.0</v>
      </c>
      <c r="H26" s="62">
        <v>3.0</v>
      </c>
      <c r="I26" s="85">
        <f t="shared" si="2"/>
        <v>3</v>
      </c>
      <c r="J26" s="63">
        <v>4.0</v>
      </c>
      <c r="K26" s="361">
        <v>3.0</v>
      </c>
      <c r="L26" s="62">
        <v>3.0</v>
      </c>
      <c r="M26" s="62">
        <v>3.0</v>
      </c>
      <c r="N26" s="365">
        <f t="shared" si="10"/>
        <v>3</v>
      </c>
      <c r="O26" s="63">
        <v>5.0</v>
      </c>
      <c r="P26" s="62">
        <v>3.0</v>
      </c>
      <c r="Q26" s="62">
        <v>5.0</v>
      </c>
      <c r="R26" s="62">
        <v>4.0</v>
      </c>
      <c r="S26" s="63">
        <v>4.0</v>
      </c>
      <c r="T26" s="366">
        <f t="shared" si="4"/>
        <v>4.333333333</v>
      </c>
      <c r="U26" s="62">
        <v>3.0</v>
      </c>
      <c r="V26" s="62">
        <v>4.0</v>
      </c>
      <c r="W26" s="63">
        <v>4.0</v>
      </c>
      <c r="X26" s="68">
        <f t="shared" si="5"/>
        <v>3.666666667</v>
      </c>
      <c r="Y26" s="63">
        <v>3.0</v>
      </c>
      <c r="Z26" s="62">
        <v>3.0</v>
      </c>
      <c r="AA26" s="62">
        <v>4.0</v>
      </c>
      <c r="AB26" s="212">
        <f t="shared" si="6"/>
        <v>3.416666667</v>
      </c>
      <c r="AC26" s="250">
        <v>5.0</v>
      </c>
      <c r="AD26" s="250">
        <v>5.0</v>
      </c>
      <c r="AE26" s="213">
        <v>5.0</v>
      </c>
      <c r="AF26" s="63">
        <v>5.0</v>
      </c>
      <c r="AG26" s="67">
        <f t="shared" si="7"/>
        <v>5</v>
      </c>
      <c r="AH26" s="250">
        <v>3.0</v>
      </c>
      <c r="AI26" s="250">
        <v>4.0</v>
      </c>
      <c r="AJ26" s="213">
        <v>4.0</v>
      </c>
      <c r="AK26" s="63">
        <v>4.0</v>
      </c>
      <c r="AL26" s="70">
        <f t="shared" si="8"/>
        <v>4</v>
      </c>
      <c r="AM26" s="78">
        <f t="shared" si="9"/>
        <v>3.8</v>
      </c>
    </row>
    <row r="27" ht="15.75" customHeight="1">
      <c r="A27" s="74">
        <v>20.0</v>
      </c>
      <c r="B27" s="410" t="s">
        <v>427</v>
      </c>
      <c r="C27" s="65" t="s">
        <v>44</v>
      </c>
      <c r="D27" s="62">
        <v>3.0</v>
      </c>
      <c r="E27" s="62">
        <v>3.0</v>
      </c>
      <c r="F27" s="305">
        <f t="shared" si="1"/>
        <v>3</v>
      </c>
      <c r="G27" s="62">
        <v>3.0</v>
      </c>
      <c r="H27" s="62">
        <v>3.0</v>
      </c>
      <c r="I27" s="85">
        <f t="shared" si="2"/>
        <v>3</v>
      </c>
      <c r="J27" s="63">
        <v>3.0</v>
      </c>
      <c r="K27" s="361">
        <v>3.0</v>
      </c>
      <c r="L27" s="62">
        <v>3.0</v>
      </c>
      <c r="M27" s="62">
        <v>3.0</v>
      </c>
      <c r="N27" s="365">
        <f t="shared" si="10"/>
        <v>3</v>
      </c>
      <c r="O27" s="63">
        <v>3.0</v>
      </c>
      <c r="P27" s="62">
        <v>3.0</v>
      </c>
      <c r="Q27" s="62">
        <v>3.0</v>
      </c>
      <c r="R27" s="62">
        <v>3.0</v>
      </c>
      <c r="S27" s="63">
        <v>3.0</v>
      </c>
      <c r="T27" s="366">
        <f t="shared" si="4"/>
        <v>3</v>
      </c>
      <c r="U27" s="62">
        <v>3.0</v>
      </c>
      <c r="V27" s="62">
        <v>3.0</v>
      </c>
      <c r="W27" s="63">
        <v>3.0</v>
      </c>
      <c r="X27" s="68">
        <v>3.0</v>
      </c>
      <c r="Y27" s="63">
        <v>3.0</v>
      </c>
      <c r="Z27" s="62">
        <v>3.0</v>
      </c>
      <c r="AA27" s="62">
        <v>3.0</v>
      </c>
      <c r="AB27" s="212">
        <f t="shared" si="6"/>
        <v>3</v>
      </c>
      <c r="AC27" s="250">
        <v>4.0</v>
      </c>
      <c r="AD27" s="250">
        <v>4.0</v>
      </c>
      <c r="AE27" s="213">
        <v>4.0</v>
      </c>
      <c r="AF27" s="63">
        <v>3.0</v>
      </c>
      <c r="AG27" s="67">
        <f t="shared" si="7"/>
        <v>3.666666667</v>
      </c>
      <c r="AH27" s="250">
        <v>3.0</v>
      </c>
      <c r="AI27" s="250">
        <v>2.0</v>
      </c>
      <c r="AJ27" s="213">
        <v>2.0</v>
      </c>
      <c r="AK27" s="63">
        <v>2.0</v>
      </c>
      <c r="AL27" s="70">
        <v>5.0</v>
      </c>
      <c r="AM27" s="78">
        <f t="shared" si="9"/>
        <v>3.3</v>
      </c>
    </row>
    <row r="28" ht="15.75" customHeight="1">
      <c r="A28" s="74">
        <v>21.0</v>
      </c>
      <c r="B28" s="410" t="s">
        <v>428</v>
      </c>
      <c r="C28" s="65" t="s">
        <v>44</v>
      </c>
      <c r="D28" s="62">
        <v>5.0</v>
      </c>
      <c r="E28" s="62">
        <v>5.0</v>
      </c>
      <c r="F28" s="305">
        <f t="shared" si="1"/>
        <v>5</v>
      </c>
      <c r="G28" s="62">
        <v>5.0</v>
      </c>
      <c r="H28" s="62">
        <v>6.0</v>
      </c>
      <c r="I28" s="85">
        <f t="shared" si="2"/>
        <v>5.5</v>
      </c>
      <c r="J28" s="63">
        <v>6.0</v>
      </c>
      <c r="K28" s="361">
        <v>5.0</v>
      </c>
      <c r="L28" s="62">
        <v>5.0</v>
      </c>
      <c r="M28" s="62">
        <v>6.0</v>
      </c>
      <c r="N28" s="365">
        <f t="shared" si="10"/>
        <v>5.5</v>
      </c>
      <c r="O28" s="63">
        <v>5.0</v>
      </c>
      <c r="P28" s="62">
        <v>5.0</v>
      </c>
      <c r="Q28" s="62">
        <v>6.0</v>
      </c>
      <c r="R28" s="62">
        <v>6.0</v>
      </c>
      <c r="S28" s="63">
        <v>5.0</v>
      </c>
      <c r="T28" s="366">
        <f t="shared" si="4"/>
        <v>5.666666667</v>
      </c>
      <c r="U28" s="62">
        <v>5.0</v>
      </c>
      <c r="V28" s="62">
        <v>5.0</v>
      </c>
      <c r="W28" s="63">
        <v>6.0</v>
      </c>
      <c r="X28" s="68">
        <f t="shared" ref="X28:X45" si="11">SUM(U28:W28)/3</f>
        <v>5.333333333</v>
      </c>
      <c r="Y28" s="63">
        <v>6.0</v>
      </c>
      <c r="Z28" s="62">
        <v>6.0</v>
      </c>
      <c r="AA28" s="62">
        <v>6.0</v>
      </c>
      <c r="AB28" s="212">
        <f t="shared" si="6"/>
        <v>5.833333333</v>
      </c>
      <c r="AC28" s="250">
        <v>5.0</v>
      </c>
      <c r="AD28" s="250">
        <v>6.0</v>
      </c>
      <c r="AE28" s="213">
        <v>6.0</v>
      </c>
      <c r="AF28" s="63">
        <v>6.0</v>
      </c>
      <c r="AG28" s="67">
        <f t="shared" si="7"/>
        <v>6</v>
      </c>
      <c r="AH28" s="250">
        <v>6.0</v>
      </c>
      <c r="AI28" s="250">
        <v>6.0</v>
      </c>
      <c r="AJ28" s="213">
        <v>6.0</v>
      </c>
      <c r="AK28" s="63">
        <v>6.0</v>
      </c>
      <c r="AL28" s="70">
        <f t="shared" ref="AL28:AL45" si="12">SUM(AI28:AK28)/3</f>
        <v>6</v>
      </c>
      <c r="AM28" s="78">
        <f t="shared" si="9"/>
        <v>5.5</v>
      </c>
    </row>
    <row r="29" ht="15.75" customHeight="1">
      <c r="A29" s="74">
        <v>22.0</v>
      </c>
      <c r="B29" s="410" t="s">
        <v>429</v>
      </c>
      <c r="C29" s="65" t="s">
        <v>44</v>
      </c>
      <c r="D29" s="62">
        <v>5.0</v>
      </c>
      <c r="E29" s="62">
        <v>4.0</v>
      </c>
      <c r="F29" s="305">
        <f t="shared" si="1"/>
        <v>4.5</v>
      </c>
      <c r="G29" s="62">
        <v>5.0</v>
      </c>
      <c r="H29" s="62">
        <v>4.0</v>
      </c>
      <c r="I29" s="85">
        <f t="shared" si="2"/>
        <v>4.5</v>
      </c>
      <c r="J29" s="63">
        <v>4.0</v>
      </c>
      <c r="K29" s="361">
        <v>5.0</v>
      </c>
      <c r="L29" s="62">
        <v>5.0</v>
      </c>
      <c r="M29" s="62">
        <v>5.0</v>
      </c>
      <c r="N29" s="365">
        <f t="shared" si="10"/>
        <v>5</v>
      </c>
      <c r="O29" s="63">
        <v>5.0</v>
      </c>
      <c r="P29" s="62">
        <v>5.0</v>
      </c>
      <c r="Q29" s="62">
        <v>4.0</v>
      </c>
      <c r="R29" s="62">
        <v>5.0</v>
      </c>
      <c r="S29" s="63">
        <v>5.0</v>
      </c>
      <c r="T29" s="366">
        <f t="shared" si="4"/>
        <v>4.666666667</v>
      </c>
      <c r="U29" s="62">
        <v>5.0</v>
      </c>
      <c r="V29" s="62">
        <v>4.0</v>
      </c>
      <c r="W29" s="63">
        <v>4.0</v>
      </c>
      <c r="X29" s="68">
        <f t="shared" si="11"/>
        <v>4.333333333</v>
      </c>
      <c r="Y29" s="63">
        <v>5.0</v>
      </c>
      <c r="Z29" s="62">
        <v>4.0</v>
      </c>
      <c r="AA29" s="62">
        <v>5.0</v>
      </c>
      <c r="AB29" s="212">
        <f t="shared" si="6"/>
        <v>4.583333333</v>
      </c>
      <c r="AC29" s="250">
        <v>5.0</v>
      </c>
      <c r="AD29" s="250">
        <v>5.0</v>
      </c>
      <c r="AE29" s="213">
        <v>5.0</v>
      </c>
      <c r="AF29" s="63">
        <v>5.0</v>
      </c>
      <c r="AG29" s="67">
        <f t="shared" si="7"/>
        <v>5</v>
      </c>
      <c r="AH29" s="250">
        <v>4.0</v>
      </c>
      <c r="AI29" s="250">
        <v>5.0</v>
      </c>
      <c r="AJ29" s="213">
        <v>5.0</v>
      </c>
      <c r="AK29" s="63">
        <v>5.0</v>
      </c>
      <c r="AL29" s="70">
        <f t="shared" si="12"/>
        <v>5</v>
      </c>
      <c r="AM29" s="78">
        <f t="shared" si="9"/>
        <v>4.8</v>
      </c>
    </row>
    <row r="30" ht="15.75" customHeight="1">
      <c r="A30" s="74">
        <v>23.0</v>
      </c>
      <c r="B30" s="410" t="s">
        <v>430</v>
      </c>
      <c r="C30" s="65" t="s">
        <v>45</v>
      </c>
      <c r="D30" s="62">
        <v>3.0</v>
      </c>
      <c r="E30" s="62">
        <v>3.0</v>
      </c>
      <c r="F30" s="305">
        <f t="shared" si="1"/>
        <v>3</v>
      </c>
      <c r="G30" s="62">
        <v>3.0</v>
      </c>
      <c r="H30" s="62">
        <v>3.0</v>
      </c>
      <c r="I30" s="85">
        <f t="shared" si="2"/>
        <v>3</v>
      </c>
      <c r="J30" s="63">
        <v>3.0</v>
      </c>
      <c r="K30" s="361">
        <v>3.0</v>
      </c>
      <c r="L30" s="62">
        <v>3.0</v>
      </c>
      <c r="M30" s="62">
        <v>3.0</v>
      </c>
      <c r="N30" s="365">
        <f t="shared" si="10"/>
        <v>3</v>
      </c>
      <c r="O30" s="63">
        <v>3.0</v>
      </c>
      <c r="P30" s="62">
        <v>3.0</v>
      </c>
      <c r="Q30" s="62">
        <v>3.0</v>
      </c>
      <c r="R30" s="62">
        <v>3.0</v>
      </c>
      <c r="S30" s="63">
        <v>3.0</v>
      </c>
      <c r="T30" s="366">
        <f t="shared" si="4"/>
        <v>3</v>
      </c>
      <c r="U30" s="62">
        <v>3.0</v>
      </c>
      <c r="V30" s="62">
        <v>3.0</v>
      </c>
      <c r="W30" s="63">
        <v>3.0</v>
      </c>
      <c r="X30" s="68">
        <f t="shared" si="11"/>
        <v>3</v>
      </c>
      <c r="Y30" s="63">
        <v>3.0</v>
      </c>
      <c r="Z30" s="62">
        <v>3.0</v>
      </c>
      <c r="AA30" s="62">
        <v>3.0</v>
      </c>
      <c r="AB30" s="212">
        <f t="shared" si="6"/>
        <v>3</v>
      </c>
      <c r="AC30" s="250">
        <v>4.0</v>
      </c>
      <c r="AD30" s="250">
        <v>4.0</v>
      </c>
      <c r="AE30" s="213">
        <v>4.0</v>
      </c>
      <c r="AF30" s="63">
        <v>5.0</v>
      </c>
      <c r="AG30" s="67">
        <f t="shared" si="7"/>
        <v>4.333333333</v>
      </c>
      <c r="AH30" s="250">
        <v>2.0</v>
      </c>
      <c r="AI30" s="250">
        <v>2.0</v>
      </c>
      <c r="AJ30" s="213">
        <v>2.0</v>
      </c>
      <c r="AK30" s="63">
        <v>2.0</v>
      </c>
      <c r="AL30" s="70">
        <f t="shared" si="12"/>
        <v>2</v>
      </c>
      <c r="AM30" s="78">
        <f t="shared" si="9"/>
        <v>2.9</v>
      </c>
    </row>
    <row r="31" ht="15.75" customHeight="1">
      <c r="A31" s="74">
        <v>24.0</v>
      </c>
      <c r="B31" s="410" t="s">
        <v>431</v>
      </c>
      <c r="C31" s="65" t="s">
        <v>45</v>
      </c>
      <c r="D31" s="62">
        <v>4.0</v>
      </c>
      <c r="E31" s="62">
        <v>4.0</v>
      </c>
      <c r="F31" s="305">
        <f t="shared" si="1"/>
        <v>4</v>
      </c>
      <c r="G31" s="62">
        <v>4.0</v>
      </c>
      <c r="H31" s="62">
        <v>5.0</v>
      </c>
      <c r="I31" s="85">
        <f t="shared" si="2"/>
        <v>4.5</v>
      </c>
      <c r="J31" s="63">
        <v>4.0</v>
      </c>
      <c r="K31" s="361">
        <v>5.0</v>
      </c>
      <c r="L31" s="62">
        <v>4.0</v>
      </c>
      <c r="M31" s="62">
        <v>4.0</v>
      </c>
      <c r="N31" s="365">
        <f t="shared" si="10"/>
        <v>4</v>
      </c>
      <c r="O31" s="63">
        <v>4.0</v>
      </c>
      <c r="P31" s="62">
        <v>4.0</v>
      </c>
      <c r="Q31" s="62">
        <v>5.0</v>
      </c>
      <c r="R31" s="62">
        <v>5.0</v>
      </c>
      <c r="S31" s="63">
        <v>4.0</v>
      </c>
      <c r="T31" s="366">
        <f t="shared" si="4"/>
        <v>4.666666667</v>
      </c>
      <c r="U31" s="62">
        <v>4.0</v>
      </c>
      <c r="V31" s="62">
        <v>5.0</v>
      </c>
      <c r="W31" s="63">
        <v>4.0</v>
      </c>
      <c r="X31" s="68">
        <f t="shared" si="11"/>
        <v>4.333333333</v>
      </c>
      <c r="Y31" s="63">
        <v>4.0</v>
      </c>
      <c r="Z31" s="62">
        <v>4.0</v>
      </c>
      <c r="AA31" s="62">
        <v>5.0</v>
      </c>
      <c r="AB31" s="212">
        <f t="shared" si="6"/>
        <v>4.333333333</v>
      </c>
      <c r="AC31" s="250">
        <v>5.0</v>
      </c>
      <c r="AD31" s="250">
        <v>5.0</v>
      </c>
      <c r="AE31" s="213">
        <v>5.0</v>
      </c>
      <c r="AF31" s="63">
        <v>5.0</v>
      </c>
      <c r="AG31" s="67">
        <f t="shared" si="7"/>
        <v>5</v>
      </c>
      <c r="AH31" s="250">
        <v>4.0</v>
      </c>
      <c r="AI31" s="250">
        <v>4.0</v>
      </c>
      <c r="AJ31" s="213">
        <v>5.0</v>
      </c>
      <c r="AK31" s="63">
        <v>5.0</v>
      </c>
      <c r="AL31" s="70">
        <f t="shared" si="12"/>
        <v>4.666666667</v>
      </c>
      <c r="AM31" s="78">
        <f t="shared" si="9"/>
        <v>4.366666667</v>
      </c>
    </row>
    <row r="32" ht="15.75" customHeight="1">
      <c r="A32" s="74">
        <v>25.0</v>
      </c>
      <c r="B32" s="410" t="s">
        <v>432</v>
      </c>
      <c r="C32" s="65" t="s">
        <v>45</v>
      </c>
      <c r="D32" s="62">
        <v>4.0</v>
      </c>
      <c r="E32" s="62">
        <v>4.0</v>
      </c>
      <c r="F32" s="305">
        <f t="shared" si="1"/>
        <v>4</v>
      </c>
      <c r="G32" s="62">
        <v>4.0</v>
      </c>
      <c r="H32" s="62">
        <v>4.0</v>
      </c>
      <c r="I32" s="85">
        <f t="shared" si="2"/>
        <v>4</v>
      </c>
      <c r="J32" s="63">
        <v>4.0</v>
      </c>
      <c r="K32" s="361">
        <v>4.0</v>
      </c>
      <c r="L32" s="62">
        <v>4.0</v>
      </c>
      <c r="M32" s="62">
        <v>4.0</v>
      </c>
      <c r="N32" s="365">
        <f t="shared" si="10"/>
        <v>4</v>
      </c>
      <c r="O32" s="63">
        <v>5.0</v>
      </c>
      <c r="P32" s="62">
        <v>4.0</v>
      </c>
      <c r="Q32" s="62">
        <v>4.0</v>
      </c>
      <c r="R32" s="62">
        <v>4.0</v>
      </c>
      <c r="S32" s="63">
        <v>4.0</v>
      </c>
      <c r="T32" s="366">
        <f t="shared" si="4"/>
        <v>4</v>
      </c>
      <c r="U32" s="62">
        <v>4.0</v>
      </c>
      <c r="V32" s="62">
        <v>5.0</v>
      </c>
      <c r="W32" s="63">
        <v>5.0</v>
      </c>
      <c r="X32" s="68">
        <f t="shared" si="11"/>
        <v>4.666666667</v>
      </c>
      <c r="Y32" s="63">
        <v>4.0</v>
      </c>
      <c r="Z32" s="62">
        <v>3.0</v>
      </c>
      <c r="AA32" s="62">
        <v>5.0</v>
      </c>
      <c r="AB32" s="212">
        <f t="shared" si="6"/>
        <v>4.166666667</v>
      </c>
      <c r="AC32" s="250">
        <v>5.0</v>
      </c>
      <c r="AD32" s="250">
        <v>5.0</v>
      </c>
      <c r="AE32" s="213">
        <v>5.0</v>
      </c>
      <c r="AF32" s="63">
        <v>6.0</v>
      </c>
      <c r="AG32" s="67">
        <f t="shared" si="7"/>
        <v>5.333333333</v>
      </c>
      <c r="AH32" s="250">
        <v>4.0</v>
      </c>
      <c r="AI32" s="250">
        <v>4.0</v>
      </c>
      <c r="AJ32" s="213">
        <v>4.0</v>
      </c>
      <c r="AK32" s="63">
        <v>4.0</v>
      </c>
      <c r="AL32" s="70">
        <f t="shared" si="12"/>
        <v>4</v>
      </c>
      <c r="AM32" s="78">
        <f t="shared" si="9"/>
        <v>4.2</v>
      </c>
    </row>
    <row r="33" ht="15.75" customHeight="1">
      <c r="A33" s="74">
        <v>26.0</v>
      </c>
      <c r="B33" s="410" t="s">
        <v>433</v>
      </c>
      <c r="C33" s="65" t="s">
        <v>45</v>
      </c>
      <c r="D33" s="62">
        <v>5.0</v>
      </c>
      <c r="E33" s="62">
        <v>5.0</v>
      </c>
      <c r="F33" s="305">
        <f t="shared" si="1"/>
        <v>5</v>
      </c>
      <c r="G33" s="62">
        <v>5.0</v>
      </c>
      <c r="H33" s="62">
        <v>6.0</v>
      </c>
      <c r="I33" s="85">
        <f t="shared" si="2"/>
        <v>5.5</v>
      </c>
      <c r="J33" s="63">
        <v>6.0</v>
      </c>
      <c r="K33" s="361">
        <v>6.0</v>
      </c>
      <c r="L33" s="62">
        <v>6.0</v>
      </c>
      <c r="M33" s="62">
        <v>6.0</v>
      </c>
      <c r="N33" s="365">
        <f t="shared" si="10"/>
        <v>6</v>
      </c>
      <c r="O33" s="63">
        <v>6.0</v>
      </c>
      <c r="P33" s="62">
        <v>5.0</v>
      </c>
      <c r="Q33" s="62">
        <v>6.0</v>
      </c>
      <c r="R33" s="62">
        <v>6.0</v>
      </c>
      <c r="S33" s="63">
        <v>6.0</v>
      </c>
      <c r="T33" s="366">
        <f t="shared" si="4"/>
        <v>6</v>
      </c>
      <c r="U33" s="62">
        <v>5.0</v>
      </c>
      <c r="V33" s="62">
        <v>6.0</v>
      </c>
      <c r="W33" s="63">
        <v>6.0</v>
      </c>
      <c r="X33" s="68">
        <f t="shared" si="11"/>
        <v>5.666666667</v>
      </c>
      <c r="Y33" s="63">
        <v>5.0</v>
      </c>
      <c r="Z33" s="62">
        <v>5.0</v>
      </c>
      <c r="AA33" s="62">
        <v>6.0</v>
      </c>
      <c r="AB33" s="212">
        <f t="shared" si="6"/>
        <v>5.416666667</v>
      </c>
      <c r="AC33" s="250">
        <v>5.0</v>
      </c>
      <c r="AD33" s="250">
        <v>6.0</v>
      </c>
      <c r="AE33" s="213">
        <v>6.0</v>
      </c>
      <c r="AF33" s="63">
        <v>6.0</v>
      </c>
      <c r="AG33" s="67">
        <f t="shared" si="7"/>
        <v>6</v>
      </c>
      <c r="AH33" s="250">
        <v>5.0</v>
      </c>
      <c r="AI33" s="250">
        <v>6.0</v>
      </c>
      <c r="AJ33" s="213">
        <v>6.0</v>
      </c>
      <c r="AK33" s="63">
        <v>6.0</v>
      </c>
      <c r="AL33" s="70">
        <f t="shared" si="12"/>
        <v>6</v>
      </c>
      <c r="AM33" s="78">
        <f t="shared" si="9"/>
        <v>5.5</v>
      </c>
    </row>
    <row r="34" ht="15.75" customHeight="1">
      <c r="A34" s="74">
        <v>27.0</v>
      </c>
      <c r="B34" s="410" t="s">
        <v>434</v>
      </c>
      <c r="C34" s="65" t="s">
        <v>45</v>
      </c>
      <c r="D34" s="62">
        <v>3.0</v>
      </c>
      <c r="E34" s="62">
        <v>4.0</v>
      </c>
      <c r="F34" s="305">
        <f t="shared" si="1"/>
        <v>3.5</v>
      </c>
      <c r="G34" s="62">
        <v>3.0</v>
      </c>
      <c r="H34" s="62">
        <v>4.0</v>
      </c>
      <c r="I34" s="85">
        <f t="shared" si="2"/>
        <v>3.5</v>
      </c>
      <c r="J34" s="63">
        <v>4.0</v>
      </c>
      <c r="K34" s="361">
        <v>4.0</v>
      </c>
      <c r="L34" s="62">
        <v>4.0</v>
      </c>
      <c r="M34" s="62">
        <v>4.0</v>
      </c>
      <c r="N34" s="365">
        <f t="shared" si="10"/>
        <v>4</v>
      </c>
      <c r="O34" s="63">
        <v>5.0</v>
      </c>
      <c r="P34" s="62">
        <v>5.0</v>
      </c>
      <c r="Q34" s="62">
        <v>5.0</v>
      </c>
      <c r="R34" s="62">
        <v>4.0</v>
      </c>
      <c r="S34" s="63">
        <v>4.0</v>
      </c>
      <c r="T34" s="366">
        <f t="shared" si="4"/>
        <v>4.333333333</v>
      </c>
      <c r="U34" s="62">
        <v>5.0</v>
      </c>
      <c r="V34" s="62">
        <v>4.0</v>
      </c>
      <c r="W34" s="63">
        <v>5.0</v>
      </c>
      <c r="X34" s="68">
        <f t="shared" si="11"/>
        <v>4.666666667</v>
      </c>
      <c r="Y34" s="63">
        <v>5.0</v>
      </c>
      <c r="Z34" s="62">
        <v>5.0</v>
      </c>
      <c r="AA34" s="62">
        <v>5.0</v>
      </c>
      <c r="AB34" s="212">
        <f t="shared" si="6"/>
        <v>4.916666667</v>
      </c>
      <c r="AC34" s="250">
        <v>5.0</v>
      </c>
      <c r="AD34" s="250">
        <v>5.0</v>
      </c>
      <c r="AE34" s="213">
        <v>4.0</v>
      </c>
      <c r="AF34" s="63">
        <v>5.0</v>
      </c>
      <c r="AG34" s="67">
        <f t="shared" si="7"/>
        <v>4.666666667</v>
      </c>
      <c r="AH34" s="250">
        <v>4.0</v>
      </c>
      <c r="AI34" s="250">
        <v>4.0</v>
      </c>
      <c r="AJ34" s="213">
        <v>4.0</v>
      </c>
      <c r="AK34" s="63">
        <v>4.0</v>
      </c>
      <c r="AL34" s="70">
        <f t="shared" si="12"/>
        <v>4</v>
      </c>
      <c r="AM34" s="78">
        <f t="shared" si="9"/>
        <v>4.6</v>
      </c>
    </row>
    <row r="35" ht="15.75" customHeight="1">
      <c r="A35" s="74">
        <v>28.0</v>
      </c>
      <c r="B35" s="410" t="s">
        <v>435</v>
      </c>
      <c r="C35" s="65" t="s">
        <v>45</v>
      </c>
      <c r="D35" s="62">
        <v>5.0</v>
      </c>
      <c r="E35" s="62">
        <v>5.0</v>
      </c>
      <c r="F35" s="305">
        <f t="shared" si="1"/>
        <v>5</v>
      </c>
      <c r="G35" s="62">
        <v>5.0</v>
      </c>
      <c r="H35" s="62">
        <v>5.0</v>
      </c>
      <c r="I35" s="85">
        <f t="shared" si="2"/>
        <v>5</v>
      </c>
      <c r="J35" s="63">
        <v>4.0</v>
      </c>
      <c r="K35" s="361">
        <v>4.0</v>
      </c>
      <c r="L35" s="62">
        <v>4.0</v>
      </c>
      <c r="M35" s="62">
        <v>4.0</v>
      </c>
      <c r="N35" s="365">
        <f t="shared" si="10"/>
        <v>4</v>
      </c>
      <c r="O35" s="63">
        <v>4.0</v>
      </c>
      <c r="P35" s="62">
        <v>5.0</v>
      </c>
      <c r="Q35" s="62">
        <v>5.0</v>
      </c>
      <c r="R35" s="62">
        <v>5.0</v>
      </c>
      <c r="S35" s="63">
        <v>5.0</v>
      </c>
      <c r="T35" s="366">
        <f t="shared" si="4"/>
        <v>5</v>
      </c>
      <c r="U35" s="62">
        <v>5.0</v>
      </c>
      <c r="V35" s="62">
        <v>5.0</v>
      </c>
      <c r="W35" s="63">
        <v>5.0</v>
      </c>
      <c r="X35" s="68">
        <f t="shared" si="11"/>
        <v>5</v>
      </c>
      <c r="Y35" s="63">
        <v>5.0</v>
      </c>
      <c r="Z35" s="62">
        <v>5.0</v>
      </c>
      <c r="AA35" s="62">
        <v>4.0</v>
      </c>
      <c r="AB35" s="212">
        <f t="shared" si="6"/>
        <v>4.75</v>
      </c>
      <c r="AC35" s="250">
        <v>5.0</v>
      </c>
      <c r="AD35" s="250">
        <v>6.0</v>
      </c>
      <c r="AE35" s="213">
        <v>6.0</v>
      </c>
      <c r="AF35" s="63">
        <v>6.0</v>
      </c>
      <c r="AG35" s="67">
        <f t="shared" si="7"/>
        <v>6</v>
      </c>
      <c r="AH35" s="250">
        <v>5.0</v>
      </c>
      <c r="AI35" s="250">
        <v>5.0</v>
      </c>
      <c r="AJ35" s="213">
        <v>5.0</v>
      </c>
      <c r="AK35" s="63">
        <v>5.0</v>
      </c>
      <c r="AL35" s="70">
        <f t="shared" si="12"/>
        <v>5</v>
      </c>
      <c r="AM35" s="78">
        <f t="shared" si="9"/>
        <v>4.8</v>
      </c>
    </row>
    <row r="36" ht="15.75" customHeight="1">
      <c r="A36" s="74">
        <v>29.0</v>
      </c>
      <c r="B36" s="410" t="s">
        <v>436</v>
      </c>
      <c r="C36" s="65" t="s">
        <v>45</v>
      </c>
      <c r="D36" s="62">
        <v>5.0</v>
      </c>
      <c r="E36" s="62">
        <v>4.0</v>
      </c>
      <c r="F36" s="305">
        <f t="shared" si="1"/>
        <v>4.5</v>
      </c>
      <c r="G36" s="62">
        <v>5.0</v>
      </c>
      <c r="H36" s="62">
        <v>5.0</v>
      </c>
      <c r="I36" s="85">
        <f t="shared" si="2"/>
        <v>5</v>
      </c>
      <c r="J36" s="63">
        <v>4.0</v>
      </c>
      <c r="K36" s="361">
        <v>5.0</v>
      </c>
      <c r="L36" s="62">
        <v>4.0</v>
      </c>
      <c r="M36" s="62">
        <v>5.0</v>
      </c>
      <c r="N36" s="365">
        <f t="shared" si="10"/>
        <v>4.5</v>
      </c>
      <c r="O36" s="63">
        <v>4.0</v>
      </c>
      <c r="P36" s="62">
        <v>5.0</v>
      </c>
      <c r="Q36" s="62">
        <v>4.0</v>
      </c>
      <c r="R36" s="62">
        <v>4.0</v>
      </c>
      <c r="S36" s="63">
        <v>5.0</v>
      </c>
      <c r="T36" s="366">
        <f t="shared" si="4"/>
        <v>4.333333333</v>
      </c>
      <c r="U36" s="62">
        <v>5.0</v>
      </c>
      <c r="V36" s="62">
        <v>5.0</v>
      </c>
      <c r="W36" s="63">
        <v>4.0</v>
      </c>
      <c r="X36" s="68">
        <f t="shared" si="11"/>
        <v>4.666666667</v>
      </c>
      <c r="Y36" s="63">
        <v>5.0</v>
      </c>
      <c r="Z36" s="62">
        <v>5.0</v>
      </c>
      <c r="AA36" s="62">
        <v>4.0</v>
      </c>
      <c r="AB36" s="212">
        <f t="shared" si="6"/>
        <v>4.666666667</v>
      </c>
      <c r="AC36" s="250">
        <v>5.0</v>
      </c>
      <c r="AD36" s="250">
        <v>5.0</v>
      </c>
      <c r="AE36" s="213">
        <v>5.0</v>
      </c>
      <c r="AF36" s="63">
        <v>5.0</v>
      </c>
      <c r="AG36" s="67">
        <f t="shared" si="7"/>
        <v>5</v>
      </c>
      <c r="AH36" s="250">
        <v>4.0</v>
      </c>
      <c r="AI36" s="250">
        <v>5.0</v>
      </c>
      <c r="AJ36" s="213">
        <v>5.0</v>
      </c>
      <c r="AK36" s="63">
        <v>5.0</v>
      </c>
      <c r="AL36" s="70">
        <f t="shared" si="12"/>
        <v>5</v>
      </c>
      <c r="AM36" s="78">
        <f t="shared" si="9"/>
        <v>4.5</v>
      </c>
    </row>
    <row r="37" ht="15.75" customHeight="1">
      <c r="A37" s="74">
        <v>30.0</v>
      </c>
      <c r="B37" s="312" t="s">
        <v>437</v>
      </c>
      <c r="C37" s="65" t="s">
        <v>45</v>
      </c>
      <c r="D37" s="62">
        <v>5.0</v>
      </c>
      <c r="E37" s="62">
        <v>5.0</v>
      </c>
      <c r="F37" s="305">
        <f t="shared" si="1"/>
        <v>5</v>
      </c>
      <c r="G37" s="62">
        <v>5.0</v>
      </c>
      <c r="H37" s="62">
        <v>6.0</v>
      </c>
      <c r="I37" s="85">
        <f t="shared" si="2"/>
        <v>5.5</v>
      </c>
      <c r="J37" s="63">
        <v>6.0</v>
      </c>
      <c r="K37" s="361">
        <v>6.0</v>
      </c>
      <c r="L37" s="62">
        <v>6.0</v>
      </c>
      <c r="M37" s="62">
        <v>6.0</v>
      </c>
      <c r="N37" s="365">
        <v>6.0</v>
      </c>
      <c r="O37" s="63">
        <v>6.0</v>
      </c>
      <c r="P37" s="62">
        <v>5.0</v>
      </c>
      <c r="Q37" s="62">
        <v>6.0</v>
      </c>
      <c r="R37" s="62">
        <v>6.0</v>
      </c>
      <c r="S37" s="63">
        <v>6.0</v>
      </c>
      <c r="T37" s="366">
        <f t="shared" si="4"/>
        <v>6</v>
      </c>
      <c r="U37" s="62">
        <v>5.0</v>
      </c>
      <c r="V37" s="62">
        <v>6.0</v>
      </c>
      <c r="W37" s="63">
        <v>6.0</v>
      </c>
      <c r="X37" s="68">
        <f t="shared" si="11"/>
        <v>5.666666667</v>
      </c>
      <c r="Y37" s="63">
        <v>5.0</v>
      </c>
      <c r="Z37" s="62">
        <v>5.0</v>
      </c>
      <c r="AA37" s="62">
        <v>6.0</v>
      </c>
      <c r="AB37" s="212">
        <f t="shared" si="6"/>
        <v>5.416666667</v>
      </c>
      <c r="AC37" s="250">
        <v>5.0</v>
      </c>
      <c r="AD37" s="250">
        <v>6.0</v>
      </c>
      <c r="AE37" s="213">
        <v>6.0</v>
      </c>
      <c r="AF37" s="63">
        <v>6.0</v>
      </c>
      <c r="AG37" s="67">
        <f t="shared" si="7"/>
        <v>6</v>
      </c>
      <c r="AH37" s="250">
        <v>5.0</v>
      </c>
      <c r="AI37" s="250">
        <v>6.0</v>
      </c>
      <c r="AJ37" s="213">
        <v>6.0</v>
      </c>
      <c r="AK37" s="63">
        <v>6.0</v>
      </c>
      <c r="AL37" s="70">
        <f t="shared" si="12"/>
        <v>6</v>
      </c>
      <c r="AM37" s="78">
        <f t="shared" si="9"/>
        <v>5.5</v>
      </c>
    </row>
    <row r="38" ht="15.75" customHeight="1">
      <c r="A38" s="74">
        <v>31.0</v>
      </c>
      <c r="B38" s="312" t="s">
        <v>438</v>
      </c>
      <c r="C38" s="65" t="s">
        <v>45</v>
      </c>
      <c r="D38" s="62">
        <v>3.0</v>
      </c>
      <c r="E38" s="62">
        <v>3.0</v>
      </c>
      <c r="F38" s="305">
        <f t="shared" si="1"/>
        <v>3</v>
      </c>
      <c r="G38" s="62">
        <v>3.0</v>
      </c>
      <c r="H38" s="62">
        <v>3.0</v>
      </c>
      <c r="I38" s="85">
        <f t="shared" si="2"/>
        <v>3</v>
      </c>
      <c r="J38" s="63">
        <v>4.0</v>
      </c>
      <c r="K38" s="361">
        <v>3.0</v>
      </c>
      <c r="L38" s="62">
        <v>3.0</v>
      </c>
      <c r="M38" s="62">
        <v>3.0</v>
      </c>
      <c r="N38" s="365">
        <f t="shared" ref="N38:N45" si="13">SUM(L38:M38)/2</f>
        <v>3</v>
      </c>
      <c r="O38" s="63">
        <v>4.0</v>
      </c>
      <c r="P38" s="62">
        <v>3.0</v>
      </c>
      <c r="Q38" s="62">
        <v>4.0</v>
      </c>
      <c r="R38" s="62">
        <v>3.0</v>
      </c>
      <c r="S38" s="63">
        <v>3.0</v>
      </c>
      <c r="T38" s="366">
        <f t="shared" si="4"/>
        <v>3.333333333</v>
      </c>
      <c r="U38" s="62">
        <v>3.0</v>
      </c>
      <c r="V38" s="62">
        <v>3.0</v>
      </c>
      <c r="W38" s="63">
        <v>4.0</v>
      </c>
      <c r="X38" s="68">
        <f t="shared" si="11"/>
        <v>3.333333333</v>
      </c>
      <c r="Y38" s="63">
        <v>3.0</v>
      </c>
      <c r="Z38" s="62">
        <v>3.0</v>
      </c>
      <c r="AA38" s="62">
        <v>4.0</v>
      </c>
      <c r="AB38" s="212">
        <f t="shared" si="6"/>
        <v>3.333333333</v>
      </c>
      <c r="AC38" s="250">
        <v>4.0</v>
      </c>
      <c r="AD38" s="250">
        <v>5.0</v>
      </c>
      <c r="AE38" s="213">
        <v>5.0</v>
      </c>
      <c r="AF38" s="63">
        <v>5.0</v>
      </c>
      <c r="AG38" s="67">
        <f t="shared" si="7"/>
        <v>5</v>
      </c>
      <c r="AH38" s="250">
        <v>3.0</v>
      </c>
      <c r="AI38" s="250">
        <v>2.0</v>
      </c>
      <c r="AJ38" s="213">
        <v>2.0</v>
      </c>
      <c r="AK38" s="63">
        <v>2.0</v>
      </c>
      <c r="AL38" s="70">
        <f t="shared" si="12"/>
        <v>2</v>
      </c>
      <c r="AM38" s="78">
        <f t="shared" si="9"/>
        <v>3.2</v>
      </c>
    </row>
    <row r="39" ht="15.75" customHeight="1">
      <c r="A39" s="74">
        <v>32.0</v>
      </c>
      <c r="B39" s="312" t="s">
        <v>439</v>
      </c>
      <c r="C39" s="65" t="s">
        <v>45</v>
      </c>
      <c r="D39" s="62">
        <v>3.0</v>
      </c>
      <c r="E39" s="62">
        <v>3.0</v>
      </c>
      <c r="F39" s="305">
        <f t="shared" si="1"/>
        <v>3</v>
      </c>
      <c r="G39" s="62">
        <v>3.0</v>
      </c>
      <c r="H39" s="62">
        <v>3.0</v>
      </c>
      <c r="I39" s="85">
        <f t="shared" si="2"/>
        <v>3</v>
      </c>
      <c r="J39" s="63">
        <v>4.0</v>
      </c>
      <c r="K39" s="361">
        <v>3.0</v>
      </c>
      <c r="L39" s="62">
        <v>3.0</v>
      </c>
      <c r="M39" s="62">
        <v>3.0</v>
      </c>
      <c r="N39" s="365">
        <f t="shared" si="13"/>
        <v>3</v>
      </c>
      <c r="O39" s="63">
        <v>5.0</v>
      </c>
      <c r="P39" s="62">
        <v>3.0</v>
      </c>
      <c r="Q39" s="62">
        <v>5.0</v>
      </c>
      <c r="R39" s="62">
        <v>3.0</v>
      </c>
      <c r="S39" s="63">
        <v>3.0</v>
      </c>
      <c r="T39" s="366">
        <f t="shared" si="4"/>
        <v>3.666666667</v>
      </c>
      <c r="U39" s="62">
        <v>3.0</v>
      </c>
      <c r="V39" s="62">
        <v>4.0</v>
      </c>
      <c r="W39" s="63">
        <v>4.0</v>
      </c>
      <c r="X39" s="68">
        <f t="shared" si="11"/>
        <v>3.666666667</v>
      </c>
      <c r="Y39" s="63">
        <v>3.0</v>
      </c>
      <c r="Z39" s="62">
        <v>3.0</v>
      </c>
      <c r="AA39" s="62">
        <v>4.0</v>
      </c>
      <c r="AB39" s="212">
        <f t="shared" si="6"/>
        <v>3.416666667</v>
      </c>
      <c r="AC39" s="250">
        <v>4.0</v>
      </c>
      <c r="AD39" s="250">
        <v>5.0</v>
      </c>
      <c r="AE39" s="213">
        <v>5.0</v>
      </c>
      <c r="AF39" s="63">
        <v>5.0</v>
      </c>
      <c r="AG39" s="67">
        <f t="shared" si="7"/>
        <v>5</v>
      </c>
      <c r="AH39" s="250">
        <v>3.0</v>
      </c>
      <c r="AI39" s="250">
        <v>3.0</v>
      </c>
      <c r="AJ39" s="213">
        <v>3.0</v>
      </c>
      <c r="AK39" s="63">
        <v>3.0</v>
      </c>
      <c r="AL39" s="70">
        <f t="shared" si="12"/>
        <v>3</v>
      </c>
      <c r="AM39" s="78">
        <f t="shared" si="9"/>
        <v>3.5</v>
      </c>
    </row>
    <row r="40" ht="15.75" customHeight="1">
      <c r="A40" s="74">
        <v>33.0</v>
      </c>
      <c r="B40" s="304" t="s">
        <v>440</v>
      </c>
      <c r="C40" s="62" t="s">
        <v>45</v>
      </c>
      <c r="D40" s="62">
        <v>3.0</v>
      </c>
      <c r="E40" s="62">
        <v>3.0</v>
      </c>
      <c r="F40" s="305">
        <f t="shared" si="1"/>
        <v>3</v>
      </c>
      <c r="G40" s="62">
        <v>3.0</v>
      </c>
      <c r="H40" s="62">
        <v>3.0</v>
      </c>
      <c r="I40" s="85">
        <f t="shared" si="2"/>
        <v>3</v>
      </c>
      <c r="J40" s="63">
        <v>3.0</v>
      </c>
      <c r="K40" s="361">
        <v>3.0</v>
      </c>
      <c r="L40" s="62">
        <v>3.0</v>
      </c>
      <c r="M40" s="62">
        <v>3.0</v>
      </c>
      <c r="N40" s="365">
        <f t="shared" si="13"/>
        <v>3</v>
      </c>
      <c r="O40" s="63">
        <v>3.0</v>
      </c>
      <c r="P40" s="62">
        <v>3.0</v>
      </c>
      <c r="Q40" s="62">
        <v>3.0</v>
      </c>
      <c r="R40" s="62">
        <v>3.0</v>
      </c>
      <c r="S40" s="63">
        <v>3.0</v>
      </c>
      <c r="T40" s="366">
        <f t="shared" si="4"/>
        <v>3</v>
      </c>
      <c r="U40" s="62">
        <v>3.0</v>
      </c>
      <c r="V40" s="62">
        <v>3.0</v>
      </c>
      <c r="W40" s="63">
        <v>3.0</v>
      </c>
      <c r="X40" s="68">
        <f t="shared" si="11"/>
        <v>3</v>
      </c>
      <c r="Y40" s="63">
        <v>3.0</v>
      </c>
      <c r="Z40" s="62">
        <v>3.0</v>
      </c>
      <c r="AA40" s="62">
        <v>3.0</v>
      </c>
      <c r="AB40" s="212">
        <f t="shared" si="6"/>
        <v>3</v>
      </c>
      <c r="AC40" s="250">
        <v>4.0</v>
      </c>
      <c r="AD40" s="250">
        <v>3.0</v>
      </c>
      <c r="AE40" s="213">
        <v>3.0</v>
      </c>
      <c r="AF40" s="63">
        <v>3.0</v>
      </c>
      <c r="AG40" s="67">
        <f t="shared" si="7"/>
        <v>3</v>
      </c>
      <c r="AH40" s="250">
        <v>3.0</v>
      </c>
      <c r="AI40" s="250">
        <v>3.0</v>
      </c>
      <c r="AJ40" s="213">
        <v>3.0</v>
      </c>
      <c r="AK40" s="63">
        <v>3.0</v>
      </c>
      <c r="AL40" s="70">
        <f t="shared" si="12"/>
        <v>3</v>
      </c>
      <c r="AM40" s="78">
        <f t="shared" si="9"/>
        <v>3.1</v>
      </c>
    </row>
    <row r="41" ht="15.75" customHeight="1">
      <c r="A41" s="74">
        <v>34.0</v>
      </c>
      <c r="B41" s="304" t="s">
        <v>441</v>
      </c>
      <c r="C41" s="62" t="s">
        <v>45</v>
      </c>
      <c r="D41" s="62">
        <v>5.0</v>
      </c>
      <c r="E41" s="62">
        <v>5.0</v>
      </c>
      <c r="F41" s="305">
        <f t="shared" si="1"/>
        <v>5</v>
      </c>
      <c r="G41" s="62">
        <v>5.0</v>
      </c>
      <c r="H41" s="62">
        <v>4.0</v>
      </c>
      <c r="I41" s="85">
        <f t="shared" si="2"/>
        <v>4.5</v>
      </c>
      <c r="J41" s="63">
        <v>4.0</v>
      </c>
      <c r="K41" s="361">
        <v>4.0</v>
      </c>
      <c r="L41" s="62">
        <v>3.0</v>
      </c>
      <c r="M41" s="62">
        <v>4.0</v>
      </c>
      <c r="N41" s="365">
        <f t="shared" si="13"/>
        <v>3.5</v>
      </c>
      <c r="O41" s="63">
        <v>5.0</v>
      </c>
      <c r="P41" s="62">
        <v>5.0</v>
      </c>
      <c r="Q41" s="62">
        <v>5.0</v>
      </c>
      <c r="R41" s="62">
        <v>5.0</v>
      </c>
      <c r="S41" s="63">
        <v>5.0</v>
      </c>
      <c r="T41" s="366">
        <f t="shared" si="4"/>
        <v>5</v>
      </c>
      <c r="U41" s="62">
        <v>5.0</v>
      </c>
      <c r="V41" s="62">
        <v>4.0</v>
      </c>
      <c r="W41" s="63">
        <v>5.0</v>
      </c>
      <c r="X41" s="68">
        <f t="shared" si="11"/>
        <v>4.666666667</v>
      </c>
      <c r="Y41" s="63">
        <v>5.0</v>
      </c>
      <c r="Z41" s="62">
        <v>4.0</v>
      </c>
      <c r="AA41" s="62">
        <v>5.0</v>
      </c>
      <c r="AB41" s="212">
        <f t="shared" si="6"/>
        <v>4.666666667</v>
      </c>
      <c r="AC41" s="250">
        <v>5.0</v>
      </c>
      <c r="AD41" s="250">
        <v>5.0</v>
      </c>
      <c r="AE41" s="213">
        <v>5.0</v>
      </c>
      <c r="AF41" s="63">
        <v>6.0</v>
      </c>
      <c r="AG41" s="67">
        <v>4.0</v>
      </c>
      <c r="AH41" s="250">
        <v>4.0</v>
      </c>
      <c r="AI41" s="250">
        <v>6.0</v>
      </c>
      <c r="AJ41" s="213">
        <v>6.0</v>
      </c>
      <c r="AK41" s="63">
        <v>6.0</v>
      </c>
      <c r="AL41" s="70">
        <f t="shared" si="12"/>
        <v>6</v>
      </c>
      <c r="AM41" s="78">
        <f t="shared" si="9"/>
        <v>4.8</v>
      </c>
    </row>
    <row r="42" ht="15.75" customHeight="1">
      <c r="A42" s="74">
        <v>35.0</v>
      </c>
      <c r="B42" s="411"/>
      <c r="C42" s="62"/>
      <c r="D42" s="62"/>
      <c r="E42" s="62"/>
      <c r="F42" s="305">
        <f t="shared" si="1"/>
        <v>0</v>
      </c>
      <c r="G42" s="62"/>
      <c r="H42" s="62"/>
      <c r="I42" s="85">
        <f t="shared" si="2"/>
        <v>0</v>
      </c>
      <c r="J42" s="63"/>
      <c r="K42" s="361"/>
      <c r="L42" s="62"/>
      <c r="M42" s="62"/>
      <c r="N42" s="365">
        <f t="shared" si="13"/>
        <v>0</v>
      </c>
      <c r="O42" s="63"/>
      <c r="P42" s="62"/>
      <c r="Q42" s="62"/>
      <c r="R42" s="62"/>
      <c r="S42" s="63"/>
      <c r="T42" s="366">
        <f t="shared" si="4"/>
        <v>0</v>
      </c>
      <c r="U42" s="62"/>
      <c r="V42" s="62"/>
      <c r="W42" s="63"/>
      <c r="X42" s="68">
        <f t="shared" si="11"/>
        <v>0</v>
      </c>
      <c r="Y42" s="63"/>
      <c r="Z42" s="62"/>
      <c r="AA42" s="62"/>
      <c r="AB42" s="212">
        <f t="shared" si="6"/>
        <v>0</v>
      </c>
      <c r="AC42" s="250"/>
      <c r="AD42" s="250"/>
      <c r="AE42" s="213"/>
      <c r="AF42" s="63"/>
      <c r="AG42" s="67">
        <f t="shared" ref="AG42:AG45" si="14">SUM(AD42:AF42)/3</f>
        <v>0</v>
      </c>
      <c r="AH42" s="250"/>
      <c r="AI42" s="250"/>
      <c r="AJ42" s="213"/>
      <c r="AK42" s="63"/>
      <c r="AL42" s="70">
        <f t="shared" si="12"/>
        <v>0</v>
      </c>
      <c r="AM42" s="78">
        <f t="shared" si="9"/>
        <v>0</v>
      </c>
    </row>
    <row r="43" ht="15.75" customHeight="1">
      <c r="A43" s="74">
        <v>36.0</v>
      </c>
      <c r="B43" s="75"/>
      <c r="C43" s="75"/>
      <c r="D43" s="75"/>
      <c r="E43" s="75"/>
      <c r="F43" s="305">
        <f t="shared" si="1"/>
        <v>0</v>
      </c>
      <c r="G43" s="75"/>
      <c r="H43" s="75"/>
      <c r="I43" s="85">
        <f t="shared" si="2"/>
        <v>0</v>
      </c>
      <c r="J43" s="75"/>
      <c r="K43" s="75"/>
      <c r="L43" s="75"/>
      <c r="M43" s="75"/>
      <c r="N43" s="365">
        <f t="shared" si="13"/>
        <v>0</v>
      </c>
      <c r="O43" s="63"/>
      <c r="P43" s="75"/>
      <c r="Q43" s="75"/>
      <c r="R43" s="75"/>
      <c r="S43" s="75"/>
      <c r="T43" s="366">
        <f t="shared" si="4"/>
        <v>0</v>
      </c>
      <c r="U43" s="75"/>
      <c r="V43" s="75"/>
      <c r="W43" s="75"/>
      <c r="X43" s="68">
        <f t="shared" si="11"/>
        <v>0</v>
      </c>
      <c r="Y43" s="75"/>
      <c r="Z43" s="75"/>
      <c r="AA43" s="75"/>
      <c r="AB43" s="212">
        <f t="shared" si="6"/>
        <v>0</v>
      </c>
      <c r="AC43" s="75"/>
      <c r="AD43" s="75"/>
      <c r="AE43" s="75"/>
      <c r="AF43" s="75"/>
      <c r="AG43" s="67">
        <f t="shared" si="14"/>
        <v>0</v>
      </c>
      <c r="AH43" s="75"/>
      <c r="AI43" s="75"/>
      <c r="AJ43" s="75"/>
      <c r="AK43" s="75"/>
      <c r="AL43" s="70">
        <f t="shared" si="12"/>
        <v>0</v>
      </c>
      <c r="AM43" s="78">
        <f t="shared" si="9"/>
        <v>0</v>
      </c>
    </row>
    <row r="44" ht="15.75" customHeight="1">
      <c r="A44" s="74">
        <v>37.0</v>
      </c>
      <c r="B44" s="75"/>
      <c r="C44" s="75"/>
      <c r="D44" s="75"/>
      <c r="E44" s="75"/>
      <c r="F44" s="305">
        <f t="shared" si="1"/>
        <v>0</v>
      </c>
      <c r="G44" s="75"/>
      <c r="H44" s="75"/>
      <c r="I44" s="85">
        <f t="shared" si="2"/>
        <v>0</v>
      </c>
      <c r="J44" s="75"/>
      <c r="K44" s="75"/>
      <c r="L44" s="75"/>
      <c r="M44" s="75"/>
      <c r="N44" s="365">
        <f t="shared" si="13"/>
        <v>0</v>
      </c>
      <c r="O44" s="63"/>
      <c r="P44" s="75"/>
      <c r="Q44" s="75"/>
      <c r="R44" s="75"/>
      <c r="S44" s="75"/>
      <c r="T44" s="366">
        <f t="shared" si="4"/>
        <v>0</v>
      </c>
      <c r="U44" s="75"/>
      <c r="V44" s="75"/>
      <c r="W44" s="75"/>
      <c r="X44" s="68">
        <f t="shared" si="11"/>
        <v>0</v>
      </c>
      <c r="Y44" s="75"/>
      <c r="Z44" s="75"/>
      <c r="AA44" s="75"/>
      <c r="AB44" s="212">
        <f t="shared" si="6"/>
        <v>0</v>
      </c>
      <c r="AC44" s="75"/>
      <c r="AD44" s="75"/>
      <c r="AE44" s="75"/>
      <c r="AF44" s="75"/>
      <c r="AG44" s="67">
        <f t="shared" si="14"/>
        <v>0</v>
      </c>
      <c r="AH44" s="75"/>
      <c r="AI44" s="75"/>
      <c r="AJ44" s="75"/>
      <c r="AK44" s="75"/>
      <c r="AL44" s="70">
        <f t="shared" si="12"/>
        <v>0</v>
      </c>
      <c r="AM44" s="78">
        <f t="shared" si="9"/>
        <v>0</v>
      </c>
    </row>
    <row r="45" ht="15.75" customHeight="1">
      <c r="A45" s="84">
        <v>38.0</v>
      </c>
      <c r="B45" s="163"/>
      <c r="C45" s="163"/>
      <c r="D45" s="163"/>
      <c r="E45" s="163"/>
      <c r="F45" s="372">
        <f t="shared" si="1"/>
        <v>0</v>
      </c>
      <c r="G45" s="163"/>
      <c r="H45" s="163"/>
      <c r="I45" s="373">
        <f t="shared" si="2"/>
        <v>0</v>
      </c>
      <c r="J45" s="163"/>
      <c r="K45" s="163"/>
      <c r="L45" s="163"/>
      <c r="M45" s="163"/>
      <c r="N45" s="374">
        <f t="shared" si="13"/>
        <v>0</v>
      </c>
      <c r="O45" s="164"/>
      <c r="P45" s="163"/>
      <c r="Q45" s="163"/>
      <c r="R45" s="163"/>
      <c r="S45" s="163"/>
      <c r="T45" s="375">
        <f t="shared" si="4"/>
        <v>0</v>
      </c>
      <c r="U45" s="163"/>
      <c r="V45" s="163"/>
      <c r="W45" s="163"/>
      <c r="X45" s="166">
        <f t="shared" si="11"/>
        <v>0</v>
      </c>
      <c r="Y45" s="163"/>
      <c r="Z45" s="163"/>
      <c r="AA45" s="163"/>
      <c r="AB45" s="376">
        <f t="shared" si="6"/>
        <v>0</v>
      </c>
      <c r="AC45" s="163"/>
      <c r="AD45" s="163"/>
      <c r="AE45" s="163"/>
      <c r="AF45" s="163"/>
      <c r="AG45" s="377">
        <f t="shared" si="14"/>
        <v>0</v>
      </c>
      <c r="AH45" s="163"/>
      <c r="AI45" s="163"/>
      <c r="AJ45" s="163"/>
      <c r="AK45" s="163"/>
      <c r="AL45" s="168">
        <f t="shared" si="12"/>
        <v>0</v>
      </c>
      <c r="AM45" s="378">
        <f t="shared" si="9"/>
        <v>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6:B7"/>
    <mergeCell ref="C6:C7"/>
    <mergeCell ref="D6:F6"/>
    <mergeCell ref="G6:I6"/>
    <mergeCell ref="K6:N6"/>
    <mergeCell ref="P6:T6"/>
    <mergeCell ref="U6:X6"/>
    <mergeCell ref="Y6:AA6"/>
    <mergeCell ref="AC6:AG6"/>
    <mergeCell ref="AH6:AL6"/>
    <mergeCell ref="A1:AM1"/>
    <mergeCell ref="C3:P3"/>
    <mergeCell ref="Q3:U3"/>
    <mergeCell ref="V3:AE3"/>
    <mergeCell ref="C4:P4"/>
    <mergeCell ref="V4:AE4"/>
    <mergeCell ref="A6:A7"/>
    <mergeCell ref="AM6:AM7"/>
  </mergeCells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43.78"/>
    <col customWidth="1" min="3" max="3" width="4.11"/>
    <col customWidth="1" min="4" max="5" width="4.0"/>
    <col customWidth="1" min="6" max="6" width="4.11"/>
    <col customWidth="1" min="7" max="7" width="4.33"/>
    <col customWidth="1" min="8" max="8" width="4.11"/>
    <col customWidth="1" min="9" max="9" width="4.0"/>
    <col customWidth="1" min="10" max="10" width="4.11"/>
    <col customWidth="1" min="11" max="11" width="4.33"/>
    <col customWidth="1" min="12" max="13" width="4.0"/>
    <col customWidth="1" min="14" max="14" width="4.33"/>
    <col customWidth="1" min="15" max="16" width="3.78"/>
    <col customWidth="1" min="17" max="18" width="4.0"/>
    <col customWidth="1" min="19" max="19" width="3.67"/>
    <col customWidth="1" min="20" max="20" width="4.33"/>
    <col customWidth="1" min="21" max="21" width="4.0"/>
    <col customWidth="1" min="22" max="22" width="4.11"/>
    <col customWidth="1" min="23" max="23" width="3.78"/>
    <col customWidth="1" min="24" max="24" width="4.11"/>
    <col customWidth="1" min="25" max="27" width="4.0"/>
    <col customWidth="1" min="28" max="28" width="4.11"/>
    <col customWidth="1" min="29" max="30" width="4.0"/>
    <col customWidth="1" min="31" max="32" width="3.78"/>
    <col customWidth="1" min="33" max="33" width="4.11"/>
    <col customWidth="1" min="34" max="34" width="4.0"/>
    <col customWidth="1" min="35" max="36" width="4.44"/>
    <col customWidth="1" min="37" max="37" width="4.33"/>
    <col customWidth="1" min="38" max="38" width="4.67"/>
    <col customWidth="1" min="39" max="39" width="5.33"/>
  </cols>
  <sheetData>
    <row r="1" ht="25.5" customHeight="1">
      <c r="A1" s="173" t="s">
        <v>442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M2" s="7"/>
    </row>
    <row r="3" ht="24.0" customHeight="1">
      <c r="A3" s="8"/>
      <c r="B3" s="9" t="s">
        <v>1</v>
      </c>
      <c r="C3" s="10" t="s">
        <v>2</v>
      </c>
      <c r="Q3" s="9" t="s">
        <v>310</v>
      </c>
      <c r="V3" s="11" t="s">
        <v>443</v>
      </c>
      <c r="AM3" s="7"/>
    </row>
    <row r="4" ht="24.0" customHeight="1">
      <c r="A4" s="12"/>
      <c r="B4" s="13" t="s">
        <v>5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312</v>
      </c>
      <c r="R4" s="13"/>
      <c r="S4" s="13"/>
      <c r="T4" s="13"/>
      <c r="U4" s="13"/>
      <c r="V4" s="13" t="s">
        <v>444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8"/>
    </row>
    <row r="5" ht="15.75" customHeight="1">
      <c r="A5" s="19"/>
      <c r="B5" s="19"/>
      <c r="C5" s="19"/>
    </row>
    <row r="6" ht="15.75" customHeight="1">
      <c r="A6" s="176" t="s">
        <v>9</v>
      </c>
      <c r="B6" s="176" t="s">
        <v>10</v>
      </c>
      <c r="C6" s="412" t="s">
        <v>11</v>
      </c>
      <c r="D6" s="22" t="s">
        <v>12</v>
      </c>
      <c r="E6" s="23"/>
      <c r="F6" s="24"/>
      <c r="G6" s="330" t="s">
        <v>53</v>
      </c>
      <c r="H6" s="23"/>
      <c r="I6" s="24"/>
      <c r="J6" s="331" t="s">
        <v>131</v>
      </c>
      <c r="K6" s="413" t="s">
        <v>132</v>
      </c>
      <c r="L6" s="414" t="s">
        <v>133</v>
      </c>
      <c r="M6" s="415" t="s">
        <v>14</v>
      </c>
      <c r="N6" s="23"/>
      <c r="O6" s="23"/>
      <c r="P6" s="23"/>
      <c r="Q6" s="24"/>
      <c r="R6" s="26" t="s">
        <v>15</v>
      </c>
      <c r="S6" s="23"/>
      <c r="T6" s="23"/>
      <c r="U6" s="23"/>
      <c r="V6" s="24"/>
      <c r="W6" s="27" t="s">
        <v>16</v>
      </c>
      <c r="X6" s="23"/>
      <c r="Y6" s="23"/>
      <c r="Z6" s="24"/>
      <c r="AA6" s="25" t="s">
        <v>17</v>
      </c>
      <c r="AB6" s="23"/>
      <c r="AC6" s="23"/>
      <c r="AD6" s="23"/>
      <c r="AE6" s="24"/>
      <c r="AF6" s="28" t="s">
        <v>18</v>
      </c>
      <c r="AG6" s="23"/>
      <c r="AH6" s="23"/>
      <c r="AI6" s="23"/>
      <c r="AJ6" s="23"/>
      <c r="AK6" s="23"/>
      <c r="AL6" s="24"/>
      <c r="AM6" s="416" t="s">
        <v>19</v>
      </c>
    </row>
    <row r="7" ht="65.25" customHeight="1">
      <c r="A7" s="188"/>
      <c r="B7" s="188"/>
      <c r="C7" s="417"/>
      <c r="D7" s="217" t="s">
        <v>445</v>
      </c>
      <c r="E7" s="218" t="s">
        <v>446</v>
      </c>
      <c r="F7" s="219" t="s">
        <v>20</v>
      </c>
      <c r="G7" s="338" t="s">
        <v>445</v>
      </c>
      <c r="H7" s="339" t="s">
        <v>446</v>
      </c>
      <c r="I7" s="340" t="s">
        <v>20</v>
      </c>
      <c r="J7" s="341" t="s">
        <v>447</v>
      </c>
      <c r="K7" s="418" t="s">
        <v>448</v>
      </c>
      <c r="L7" s="419" t="s">
        <v>449</v>
      </c>
      <c r="M7" s="420" t="s">
        <v>450</v>
      </c>
      <c r="N7" s="421" t="s">
        <v>451</v>
      </c>
      <c r="O7" s="421" t="s">
        <v>452</v>
      </c>
      <c r="P7" s="421" t="s">
        <v>453</v>
      </c>
      <c r="Q7" s="422" t="s">
        <v>20</v>
      </c>
      <c r="R7" s="349" t="s">
        <v>454</v>
      </c>
      <c r="S7" s="350" t="s">
        <v>455</v>
      </c>
      <c r="T7" s="350" t="s">
        <v>456</v>
      </c>
      <c r="U7" s="350" t="s">
        <v>457</v>
      </c>
      <c r="V7" s="352" t="s">
        <v>20</v>
      </c>
      <c r="W7" s="423" t="s">
        <v>458</v>
      </c>
      <c r="X7" s="424" t="s">
        <v>459</v>
      </c>
      <c r="Y7" s="424" t="s">
        <v>460</v>
      </c>
      <c r="Z7" s="425" t="s">
        <v>20</v>
      </c>
      <c r="AA7" s="238" t="s">
        <v>461</v>
      </c>
      <c r="AB7" s="239" t="s">
        <v>462</v>
      </c>
      <c r="AC7" s="239" t="s">
        <v>463</v>
      </c>
      <c r="AD7" s="239" t="s">
        <v>464</v>
      </c>
      <c r="AE7" s="240" t="s">
        <v>20</v>
      </c>
      <c r="AF7" s="426" t="s">
        <v>465</v>
      </c>
      <c r="AG7" s="427" t="s">
        <v>466</v>
      </c>
      <c r="AH7" s="428" t="s">
        <v>467</v>
      </c>
      <c r="AI7" s="428" t="s">
        <v>468</v>
      </c>
      <c r="AJ7" s="428" t="s">
        <v>330</v>
      </c>
      <c r="AK7" s="428" t="s">
        <v>469</v>
      </c>
      <c r="AL7" s="358" t="s">
        <v>20</v>
      </c>
      <c r="AM7" s="429"/>
    </row>
    <row r="8" ht="15.75" customHeight="1">
      <c r="A8" s="59">
        <v>1.0</v>
      </c>
      <c r="B8" s="430" t="s">
        <v>470</v>
      </c>
      <c r="C8" s="155" t="s">
        <v>45</v>
      </c>
      <c r="D8" s="119">
        <v>3.0</v>
      </c>
      <c r="E8" s="119">
        <v>3.0</v>
      </c>
      <c r="F8" s="359">
        <f t="shared" ref="F8:F45" si="2">SUM(D8:E8)/2</f>
        <v>3</v>
      </c>
      <c r="G8" s="119">
        <v>5.0</v>
      </c>
      <c r="H8" s="119">
        <v>3.0</v>
      </c>
      <c r="I8" s="431">
        <f t="shared" ref="I8:I9" si="3">SUM(G8:H8)/2</f>
        <v>4</v>
      </c>
      <c r="J8" s="121">
        <v>5.0</v>
      </c>
      <c r="K8" s="119">
        <v>4.0</v>
      </c>
      <c r="L8" s="119">
        <v>4.0</v>
      </c>
      <c r="M8" s="77">
        <v>5.0</v>
      </c>
      <c r="N8" s="77">
        <v>5.0</v>
      </c>
      <c r="O8" s="119">
        <v>5.0</v>
      </c>
      <c r="P8" s="119">
        <v>5.0</v>
      </c>
      <c r="Q8" s="432">
        <f t="shared" ref="Q8:Q45" si="4">SUM(O8:P8)/2</f>
        <v>5</v>
      </c>
      <c r="R8" s="119">
        <v>4.0</v>
      </c>
      <c r="S8" s="119">
        <v>4.0</v>
      </c>
      <c r="T8" s="119">
        <v>4.0</v>
      </c>
      <c r="U8" s="119">
        <v>5.0</v>
      </c>
      <c r="V8" s="433">
        <f t="shared" ref="V8:V12" si="5">SUM(S8:U8)/3</f>
        <v>4.333333333</v>
      </c>
      <c r="W8" s="119">
        <v>4.0</v>
      </c>
      <c r="X8" s="119">
        <v>4.0</v>
      </c>
      <c r="Y8" s="119">
        <v>4.0</v>
      </c>
      <c r="Z8" s="434">
        <f t="shared" ref="Z8:Z45" si="6">SUM(W8:Y8)/3</f>
        <v>4</v>
      </c>
      <c r="AA8" s="119">
        <v>4.0</v>
      </c>
      <c r="AB8" s="119">
        <v>4.0</v>
      </c>
      <c r="AC8" s="119">
        <v>5.0</v>
      </c>
      <c r="AD8" s="119">
        <v>5.0</v>
      </c>
      <c r="AE8" s="435">
        <f t="shared" ref="AE8:AE9" si="7">SUM(AA8:AD8)/4</f>
        <v>4.5</v>
      </c>
      <c r="AF8" s="76">
        <v>4.0</v>
      </c>
      <c r="AG8" s="76">
        <v>4.0</v>
      </c>
      <c r="AH8" s="76">
        <v>4.0</v>
      </c>
      <c r="AI8" s="76">
        <v>4.0</v>
      </c>
      <c r="AJ8" s="76">
        <v>4.0</v>
      </c>
      <c r="AK8" s="76">
        <v>4.0</v>
      </c>
      <c r="AL8" s="436">
        <f t="shared" ref="AL8:AM8" si="1">SUM(AJ8:AK8)/2</f>
        <v>4</v>
      </c>
      <c r="AM8" s="432">
        <f t="shared" si="1"/>
        <v>4</v>
      </c>
    </row>
    <row r="9" ht="15.75" customHeight="1">
      <c r="A9" s="74">
        <v>2.0</v>
      </c>
      <c r="B9" s="437" t="s">
        <v>471</v>
      </c>
      <c r="C9" s="62" t="s">
        <v>44</v>
      </c>
      <c r="D9" s="62">
        <v>5.0</v>
      </c>
      <c r="E9" s="62">
        <v>5.0</v>
      </c>
      <c r="F9" s="296">
        <f t="shared" si="2"/>
        <v>5</v>
      </c>
      <c r="G9" s="62">
        <v>5.0</v>
      </c>
      <c r="H9" s="62">
        <v>5.0</v>
      </c>
      <c r="I9" s="85">
        <f t="shared" si="3"/>
        <v>5</v>
      </c>
      <c r="J9" s="62">
        <v>5.0</v>
      </c>
      <c r="K9" s="62">
        <v>5.0</v>
      </c>
      <c r="L9" s="62">
        <v>5.0</v>
      </c>
      <c r="M9" s="65">
        <v>5.0</v>
      </c>
      <c r="N9" s="65">
        <v>5.0</v>
      </c>
      <c r="O9" s="62">
        <v>5.0</v>
      </c>
      <c r="P9" s="62">
        <v>5.0</v>
      </c>
      <c r="Q9" s="365">
        <f t="shared" si="4"/>
        <v>5</v>
      </c>
      <c r="R9" s="62">
        <v>6.0</v>
      </c>
      <c r="S9" s="62">
        <v>6.0</v>
      </c>
      <c r="T9" s="62">
        <v>5.0</v>
      </c>
      <c r="U9" s="62">
        <v>5.0</v>
      </c>
      <c r="V9" s="68">
        <f t="shared" si="5"/>
        <v>5.333333333</v>
      </c>
      <c r="W9" s="62">
        <v>6.0</v>
      </c>
      <c r="X9" s="62">
        <v>5.0</v>
      </c>
      <c r="Y9" s="62">
        <v>5.0</v>
      </c>
      <c r="Z9" s="69">
        <f t="shared" si="6"/>
        <v>5.333333333</v>
      </c>
      <c r="AA9" s="62">
        <v>6.0</v>
      </c>
      <c r="AB9" s="62">
        <v>6.0</v>
      </c>
      <c r="AC9" s="62">
        <v>5.0</v>
      </c>
      <c r="AD9" s="62">
        <v>5.0</v>
      </c>
      <c r="AE9" s="67">
        <f t="shared" si="7"/>
        <v>5.5</v>
      </c>
      <c r="AF9" s="91">
        <v>6.0</v>
      </c>
      <c r="AG9" s="64">
        <v>5.0</v>
      </c>
      <c r="AH9" s="64">
        <v>5.0</v>
      </c>
      <c r="AI9" s="64">
        <v>5.0</v>
      </c>
      <c r="AJ9" s="64">
        <v>5.0</v>
      </c>
      <c r="AK9" s="64">
        <v>5.0</v>
      </c>
      <c r="AL9" s="70">
        <f t="shared" ref="AL9:AM9" si="8">SUM(AJ9:AK9)/2</f>
        <v>5</v>
      </c>
      <c r="AM9" s="365">
        <f t="shared" si="8"/>
        <v>5</v>
      </c>
    </row>
    <row r="10" ht="15.75" customHeight="1">
      <c r="A10" s="74">
        <v>3.0</v>
      </c>
      <c r="B10" s="437" t="s">
        <v>472</v>
      </c>
      <c r="C10" s="62" t="s">
        <v>45</v>
      </c>
      <c r="D10" s="62">
        <v>3.0</v>
      </c>
      <c r="E10" s="62">
        <v>3.0</v>
      </c>
      <c r="F10" s="305">
        <f t="shared" si="2"/>
        <v>3</v>
      </c>
      <c r="G10" s="62">
        <v>3.0</v>
      </c>
      <c r="H10" s="62">
        <v>3.0</v>
      </c>
      <c r="I10" s="85">
        <v>3.0</v>
      </c>
      <c r="J10" s="62">
        <v>3.0</v>
      </c>
      <c r="K10" s="62">
        <v>3.0</v>
      </c>
      <c r="L10" s="62">
        <v>3.0</v>
      </c>
      <c r="M10" s="65">
        <v>3.0</v>
      </c>
      <c r="N10" s="65">
        <v>3.0</v>
      </c>
      <c r="O10" s="62">
        <v>3.0</v>
      </c>
      <c r="P10" s="62">
        <v>3.0</v>
      </c>
      <c r="Q10" s="365">
        <f t="shared" si="4"/>
        <v>3</v>
      </c>
      <c r="R10" s="62">
        <v>4.0</v>
      </c>
      <c r="S10" s="62">
        <v>4.0</v>
      </c>
      <c r="T10" s="62">
        <v>3.0</v>
      </c>
      <c r="U10" s="62">
        <v>3.0</v>
      </c>
      <c r="V10" s="68">
        <f t="shared" si="5"/>
        <v>3.333333333</v>
      </c>
      <c r="W10" s="62">
        <v>4.0</v>
      </c>
      <c r="X10" s="62">
        <v>3.0</v>
      </c>
      <c r="Y10" s="62">
        <v>3.0</v>
      </c>
      <c r="Z10" s="69">
        <f t="shared" si="6"/>
        <v>3.333333333</v>
      </c>
      <c r="AA10" s="62">
        <v>4.0</v>
      </c>
      <c r="AB10" s="62">
        <v>4.0</v>
      </c>
      <c r="AC10" s="62">
        <v>3.0</v>
      </c>
      <c r="AD10" s="62">
        <v>3.0</v>
      </c>
      <c r="AE10" s="67">
        <v>3.0</v>
      </c>
      <c r="AF10" s="64">
        <v>3.0</v>
      </c>
      <c r="AG10" s="64">
        <v>3.0</v>
      </c>
      <c r="AH10" s="64">
        <v>3.0</v>
      </c>
      <c r="AI10" s="64">
        <v>3.0</v>
      </c>
      <c r="AJ10" s="64">
        <v>3.0</v>
      </c>
      <c r="AK10" s="64">
        <v>3.0</v>
      </c>
      <c r="AL10" s="70">
        <f t="shared" ref="AL10:AM10" si="9">SUM(AJ10:AK10)/2</f>
        <v>3</v>
      </c>
      <c r="AM10" s="365">
        <f t="shared" si="9"/>
        <v>3</v>
      </c>
    </row>
    <row r="11" ht="15.75" customHeight="1">
      <c r="A11" s="74">
        <v>4.0</v>
      </c>
      <c r="B11" s="437" t="s">
        <v>473</v>
      </c>
      <c r="C11" s="62" t="s">
        <v>45</v>
      </c>
      <c r="D11" s="62">
        <v>4.0</v>
      </c>
      <c r="E11" s="62">
        <v>4.0</v>
      </c>
      <c r="F11" s="305">
        <f t="shared" si="2"/>
        <v>4</v>
      </c>
      <c r="G11" s="62">
        <v>3.0</v>
      </c>
      <c r="H11" s="62">
        <v>3.0</v>
      </c>
      <c r="I11" s="85">
        <f t="shared" ref="I11:I14" si="11">SUM(G11:H11)/2</f>
        <v>3</v>
      </c>
      <c r="J11" s="62">
        <v>5.0</v>
      </c>
      <c r="K11" s="62">
        <v>4.0</v>
      </c>
      <c r="L11" s="62">
        <v>4.0</v>
      </c>
      <c r="M11" s="65">
        <v>5.0</v>
      </c>
      <c r="N11" s="65">
        <v>5.0</v>
      </c>
      <c r="O11" s="62">
        <v>5.0</v>
      </c>
      <c r="P11" s="62">
        <v>5.0</v>
      </c>
      <c r="Q11" s="365">
        <f t="shared" si="4"/>
        <v>5</v>
      </c>
      <c r="R11" s="62">
        <v>4.0</v>
      </c>
      <c r="S11" s="62">
        <v>4.0</v>
      </c>
      <c r="T11" s="62">
        <v>4.0</v>
      </c>
      <c r="U11" s="62">
        <v>4.0</v>
      </c>
      <c r="V11" s="68">
        <f t="shared" si="5"/>
        <v>4</v>
      </c>
      <c r="W11" s="62">
        <v>4.0</v>
      </c>
      <c r="X11" s="62">
        <v>4.0</v>
      </c>
      <c r="Y11" s="62">
        <v>4.0</v>
      </c>
      <c r="Z11" s="69">
        <f t="shared" si="6"/>
        <v>4</v>
      </c>
      <c r="AA11" s="62">
        <v>4.0</v>
      </c>
      <c r="AB11" s="62">
        <v>4.0</v>
      </c>
      <c r="AC11" s="62">
        <v>4.0</v>
      </c>
      <c r="AD11" s="62">
        <v>4.0</v>
      </c>
      <c r="AE11" s="67">
        <f t="shared" ref="AE11:AE14" si="12">SUM(AA11:AD11)/4</f>
        <v>4</v>
      </c>
      <c r="AF11" s="64">
        <v>4.0</v>
      </c>
      <c r="AG11" s="64">
        <v>4.0</v>
      </c>
      <c r="AH11" s="64">
        <v>4.0</v>
      </c>
      <c r="AI11" s="64">
        <v>4.0</v>
      </c>
      <c r="AJ11" s="64">
        <v>4.0</v>
      </c>
      <c r="AK11" s="64">
        <v>4.0</v>
      </c>
      <c r="AL11" s="70">
        <f t="shared" ref="AL11:AM11" si="10">SUM(AJ11:AK11)/2</f>
        <v>4</v>
      </c>
      <c r="AM11" s="365">
        <f t="shared" si="10"/>
        <v>4</v>
      </c>
    </row>
    <row r="12" ht="15.75" customHeight="1">
      <c r="A12" s="74">
        <v>5.0</v>
      </c>
      <c r="B12" s="437" t="s">
        <v>474</v>
      </c>
      <c r="C12" s="62" t="s">
        <v>44</v>
      </c>
      <c r="D12" s="62">
        <v>6.0</v>
      </c>
      <c r="E12" s="62">
        <v>6.0</v>
      </c>
      <c r="F12" s="305">
        <f t="shared" si="2"/>
        <v>6</v>
      </c>
      <c r="G12" s="62">
        <v>6.0</v>
      </c>
      <c r="H12" s="62">
        <v>6.0</v>
      </c>
      <c r="I12" s="85">
        <f t="shared" si="11"/>
        <v>6</v>
      </c>
      <c r="J12" s="62">
        <v>6.0</v>
      </c>
      <c r="K12" s="62">
        <v>5.0</v>
      </c>
      <c r="L12" s="62">
        <v>6.0</v>
      </c>
      <c r="M12" s="65">
        <v>6.0</v>
      </c>
      <c r="N12" s="65">
        <v>6.0</v>
      </c>
      <c r="O12" s="62">
        <v>6.0</v>
      </c>
      <c r="P12" s="62">
        <v>6.0</v>
      </c>
      <c r="Q12" s="365">
        <f t="shared" si="4"/>
        <v>6</v>
      </c>
      <c r="R12" s="62">
        <v>6.0</v>
      </c>
      <c r="S12" s="62">
        <v>6.0</v>
      </c>
      <c r="T12" s="62">
        <v>6.0</v>
      </c>
      <c r="U12" s="62">
        <v>6.0</v>
      </c>
      <c r="V12" s="68">
        <f t="shared" si="5"/>
        <v>6</v>
      </c>
      <c r="W12" s="62">
        <v>6.0</v>
      </c>
      <c r="X12" s="62">
        <v>6.0</v>
      </c>
      <c r="Y12" s="62">
        <v>6.0</v>
      </c>
      <c r="Z12" s="69">
        <f t="shared" si="6"/>
        <v>6</v>
      </c>
      <c r="AA12" s="62">
        <v>6.0</v>
      </c>
      <c r="AB12" s="62">
        <v>6.0</v>
      </c>
      <c r="AC12" s="62">
        <v>6.0</v>
      </c>
      <c r="AD12" s="62">
        <v>6.0</v>
      </c>
      <c r="AE12" s="67">
        <f t="shared" si="12"/>
        <v>6</v>
      </c>
      <c r="AF12" s="64">
        <v>6.0</v>
      </c>
      <c r="AG12" s="64">
        <v>6.0</v>
      </c>
      <c r="AH12" s="64">
        <v>6.0</v>
      </c>
      <c r="AI12" s="64">
        <v>6.0</v>
      </c>
      <c r="AJ12" s="64">
        <v>6.0</v>
      </c>
      <c r="AK12" s="64">
        <v>5.0</v>
      </c>
      <c r="AL12" s="70">
        <f t="shared" ref="AL12:AL45" si="13">SUM(AJ12:AK12)/2</f>
        <v>5.5</v>
      </c>
      <c r="AM12" s="365">
        <v>6.0</v>
      </c>
    </row>
    <row r="13" ht="17.25" customHeight="1">
      <c r="A13" s="74">
        <v>6.0</v>
      </c>
      <c r="B13" s="437" t="s">
        <v>475</v>
      </c>
      <c r="C13" s="62" t="s">
        <v>45</v>
      </c>
      <c r="D13" s="62">
        <v>4.0</v>
      </c>
      <c r="E13" s="62">
        <v>4.0</v>
      </c>
      <c r="F13" s="305">
        <f t="shared" si="2"/>
        <v>4</v>
      </c>
      <c r="G13" s="62">
        <v>5.0</v>
      </c>
      <c r="H13" s="62">
        <v>5.0</v>
      </c>
      <c r="I13" s="85">
        <f t="shared" si="11"/>
        <v>5</v>
      </c>
      <c r="J13" s="62">
        <v>5.0</v>
      </c>
      <c r="K13" s="62">
        <v>3.0</v>
      </c>
      <c r="L13" s="62">
        <v>3.0</v>
      </c>
      <c r="M13" s="65">
        <v>4.0</v>
      </c>
      <c r="N13" s="65">
        <v>4.0</v>
      </c>
      <c r="O13" s="62">
        <v>5.0</v>
      </c>
      <c r="P13" s="62">
        <v>5.0</v>
      </c>
      <c r="Q13" s="365">
        <f t="shared" si="4"/>
        <v>5</v>
      </c>
      <c r="R13" s="62">
        <v>4.0</v>
      </c>
      <c r="S13" s="62">
        <v>5.0</v>
      </c>
      <c r="T13" s="62">
        <v>4.0</v>
      </c>
      <c r="U13" s="62">
        <v>5.0</v>
      </c>
      <c r="V13" s="68">
        <v>5.0</v>
      </c>
      <c r="W13" s="62">
        <v>5.0</v>
      </c>
      <c r="X13" s="62">
        <v>4.0</v>
      </c>
      <c r="Y13" s="62">
        <v>5.0</v>
      </c>
      <c r="Z13" s="69">
        <f t="shared" si="6"/>
        <v>4.666666667</v>
      </c>
      <c r="AA13" s="62">
        <v>5.0</v>
      </c>
      <c r="AB13" s="62">
        <v>5.0</v>
      </c>
      <c r="AC13" s="62">
        <v>4.0</v>
      </c>
      <c r="AD13" s="62">
        <v>5.0</v>
      </c>
      <c r="AE13" s="67">
        <f t="shared" si="12"/>
        <v>4.75</v>
      </c>
      <c r="AF13" s="64">
        <v>4.0</v>
      </c>
      <c r="AG13" s="64">
        <v>4.0</v>
      </c>
      <c r="AH13" s="64">
        <v>4.0</v>
      </c>
      <c r="AI13" s="64">
        <v>4.0</v>
      </c>
      <c r="AJ13" s="64">
        <v>4.0</v>
      </c>
      <c r="AK13" s="64">
        <v>4.0</v>
      </c>
      <c r="AL13" s="70">
        <f t="shared" si="13"/>
        <v>4</v>
      </c>
      <c r="AM13" s="365">
        <f>SUM(AK13:AL13)/2</f>
        <v>4</v>
      </c>
    </row>
    <row r="14" ht="15.75" customHeight="1">
      <c r="A14" s="74">
        <v>7.0</v>
      </c>
      <c r="B14" s="437" t="s">
        <v>476</v>
      </c>
      <c r="C14" s="62" t="s">
        <v>45</v>
      </c>
      <c r="D14" s="62">
        <v>4.0</v>
      </c>
      <c r="E14" s="62">
        <v>4.0</v>
      </c>
      <c r="F14" s="305">
        <f t="shared" si="2"/>
        <v>4</v>
      </c>
      <c r="G14" s="62">
        <v>4.0</v>
      </c>
      <c r="H14" s="62">
        <v>3.0</v>
      </c>
      <c r="I14" s="85">
        <f t="shared" si="11"/>
        <v>3.5</v>
      </c>
      <c r="J14" s="62">
        <v>5.0</v>
      </c>
      <c r="K14" s="62">
        <v>3.0</v>
      </c>
      <c r="L14" s="62">
        <v>3.0</v>
      </c>
      <c r="M14" s="65">
        <v>4.0</v>
      </c>
      <c r="N14" s="65">
        <v>5.0</v>
      </c>
      <c r="O14" s="62">
        <v>4.0</v>
      </c>
      <c r="P14" s="62">
        <v>5.0</v>
      </c>
      <c r="Q14" s="365">
        <f t="shared" si="4"/>
        <v>4.5</v>
      </c>
      <c r="R14" s="62">
        <v>4.0</v>
      </c>
      <c r="S14" s="62">
        <v>4.0</v>
      </c>
      <c r="T14" s="62">
        <v>4.0</v>
      </c>
      <c r="U14" s="62">
        <v>4.0</v>
      </c>
      <c r="V14" s="68">
        <f t="shared" ref="V14:V45" si="14">SUM(S14:U14)/3</f>
        <v>4</v>
      </c>
      <c r="W14" s="62">
        <v>4.0</v>
      </c>
      <c r="X14" s="62">
        <v>4.0</v>
      </c>
      <c r="Y14" s="62">
        <v>4.0</v>
      </c>
      <c r="Z14" s="69">
        <f t="shared" si="6"/>
        <v>4</v>
      </c>
      <c r="AA14" s="62">
        <v>4.0</v>
      </c>
      <c r="AB14" s="62">
        <v>4.0</v>
      </c>
      <c r="AC14" s="62">
        <v>5.0</v>
      </c>
      <c r="AD14" s="62">
        <v>5.0</v>
      </c>
      <c r="AE14" s="67">
        <f t="shared" si="12"/>
        <v>4.5</v>
      </c>
      <c r="AF14" s="64">
        <v>4.0</v>
      </c>
      <c r="AG14" s="64">
        <v>4.0</v>
      </c>
      <c r="AH14" s="64">
        <v>4.0</v>
      </c>
      <c r="AI14" s="64">
        <v>4.0</v>
      </c>
      <c r="AJ14" s="64">
        <v>4.0</v>
      </c>
      <c r="AK14" s="64">
        <v>3.0</v>
      </c>
      <c r="AL14" s="70">
        <f t="shared" si="13"/>
        <v>3.5</v>
      </c>
      <c r="AM14" s="365">
        <v>4.0</v>
      </c>
    </row>
    <row r="15" ht="15.75" customHeight="1">
      <c r="A15" s="74">
        <v>8.0</v>
      </c>
      <c r="B15" s="437" t="s">
        <v>477</v>
      </c>
      <c r="C15" s="62" t="s">
        <v>44</v>
      </c>
      <c r="D15" s="62">
        <v>3.0</v>
      </c>
      <c r="E15" s="62">
        <v>3.0</v>
      </c>
      <c r="F15" s="305">
        <f t="shared" si="2"/>
        <v>3</v>
      </c>
      <c r="G15" s="62">
        <v>3.0</v>
      </c>
      <c r="H15" s="62">
        <v>3.0</v>
      </c>
      <c r="I15" s="85">
        <v>3.0</v>
      </c>
      <c r="J15" s="62">
        <v>3.0</v>
      </c>
      <c r="K15" s="62">
        <v>3.0</v>
      </c>
      <c r="L15" s="62">
        <v>3.0</v>
      </c>
      <c r="M15" s="65">
        <v>3.0</v>
      </c>
      <c r="N15" s="65">
        <v>3.0</v>
      </c>
      <c r="O15" s="62">
        <v>3.0</v>
      </c>
      <c r="P15" s="62">
        <v>3.0</v>
      </c>
      <c r="Q15" s="365">
        <f t="shared" si="4"/>
        <v>3</v>
      </c>
      <c r="R15" s="62">
        <v>4.0</v>
      </c>
      <c r="S15" s="62">
        <v>4.0</v>
      </c>
      <c r="T15" s="62">
        <v>3.0</v>
      </c>
      <c r="U15" s="62">
        <v>3.0</v>
      </c>
      <c r="V15" s="68">
        <f t="shared" si="14"/>
        <v>3.333333333</v>
      </c>
      <c r="W15" s="62">
        <v>4.0</v>
      </c>
      <c r="X15" s="62">
        <v>3.0</v>
      </c>
      <c r="Y15" s="62">
        <v>3.0</v>
      </c>
      <c r="Z15" s="69">
        <f t="shared" si="6"/>
        <v>3.333333333</v>
      </c>
      <c r="AA15" s="62">
        <v>4.0</v>
      </c>
      <c r="AB15" s="62">
        <v>4.0</v>
      </c>
      <c r="AC15" s="62">
        <v>3.0</v>
      </c>
      <c r="AD15" s="62">
        <v>3.0</v>
      </c>
      <c r="AE15" s="67">
        <v>3.0</v>
      </c>
      <c r="AF15" s="64">
        <v>3.0</v>
      </c>
      <c r="AG15" s="64">
        <v>3.0</v>
      </c>
      <c r="AH15" s="64">
        <v>3.0</v>
      </c>
      <c r="AI15" s="64">
        <v>3.0</v>
      </c>
      <c r="AJ15" s="64">
        <v>3.0</v>
      </c>
      <c r="AK15" s="64">
        <v>3.0</v>
      </c>
      <c r="AL15" s="70">
        <f t="shared" si="13"/>
        <v>3</v>
      </c>
      <c r="AM15" s="365">
        <f t="shared" ref="AM15:AM20" si="15">SUM(AK15:AL15)/2</f>
        <v>3</v>
      </c>
    </row>
    <row r="16" ht="15.75" customHeight="1">
      <c r="A16" s="74">
        <v>9.0</v>
      </c>
      <c r="B16" s="438" t="s">
        <v>478</v>
      </c>
      <c r="C16" s="62" t="s">
        <v>44</v>
      </c>
      <c r="D16" s="62">
        <v>3.0</v>
      </c>
      <c r="E16" s="62">
        <v>3.0</v>
      </c>
      <c r="F16" s="305">
        <f t="shared" si="2"/>
        <v>3</v>
      </c>
      <c r="G16" s="62">
        <v>3.0</v>
      </c>
      <c r="H16" s="62">
        <v>3.0</v>
      </c>
      <c r="I16" s="85">
        <v>3.0</v>
      </c>
      <c r="J16" s="62">
        <v>3.0</v>
      </c>
      <c r="K16" s="62">
        <v>3.0</v>
      </c>
      <c r="L16" s="62">
        <v>3.0</v>
      </c>
      <c r="M16" s="65">
        <v>3.0</v>
      </c>
      <c r="N16" s="65">
        <v>3.0</v>
      </c>
      <c r="O16" s="62">
        <v>3.0</v>
      </c>
      <c r="P16" s="62">
        <v>3.0</v>
      </c>
      <c r="Q16" s="365">
        <f t="shared" si="4"/>
        <v>3</v>
      </c>
      <c r="R16" s="62">
        <v>4.0</v>
      </c>
      <c r="S16" s="62">
        <v>4.0</v>
      </c>
      <c r="T16" s="62">
        <v>3.0</v>
      </c>
      <c r="U16" s="62">
        <v>3.0</v>
      </c>
      <c r="V16" s="68">
        <f t="shared" si="14"/>
        <v>3.333333333</v>
      </c>
      <c r="W16" s="62">
        <v>4.0</v>
      </c>
      <c r="X16" s="62">
        <v>3.0</v>
      </c>
      <c r="Y16" s="62">
        <v>3.0</v>
      </c>
      <c r="Z16" s="69">
        <f t="shared" si="6"/>
        <v>3.333333333</v>
      </c>
      <c r="AA16" s="62">
        <v>4.0</v>
      </c>
      <c r="AB16" s="62">
        <v>4.0</v>
      </c>
      <c r="AC16" s="62">
        <v>3.0</v>
      </c>
      <c r="AD16" s="62">
        <v>3.0</v>
      </c>
      <c r="AE16" s="67">
        <v>3.0</v>
      </c>
      <c r="AF16" s="64">
        <v>3.0</v>
      </c>
      <c r="AG16" s="64">
        <v>3.0</v>
      </c>
      <c r="AH16" s="64">
        <v>3.0</v>
      </c>
      <c r="AI16" s="64">
        <v>3.0</v>
      </c>
      <c r="AJ16" s="64">
        <v>3.0</v>
      </c>
      <c r="AK16" s="64">
        <v>3.0</v>
      </c>
      <c r="AL16" s="70">
        <f t="shared" si="13"/>
        <v>3</v>
      </c>
      <c r="AM16" s="365">
        <f t="shared" si="15"/>
        <v>3</v>
      </c>
    </row>
    <row r="17" ht="15.75" customHeight="1">
      <c r="A17" s="74">
        <v>10.0</v>
      </c>
      <c r="B17" s="438" t="s">
        <v>479</v>
      </c>
      <c r="C17" s="62" t="s">
        <v>44</v>
      </c>
      <c r="D17" s="62">
        <v>3.0</v>
      </c>
      <c r="E17" s="62">
        <v>3.0</v>
      </c>
      <c r="F17" s="305">
        <f t="shared" si="2"/>
        <v>3</v>
      </c>
      <c r="G17" s="62">
        <v>3.0</v>
      </c>
      <c r="H17" s="62">
        <v>3.0</v>
      </c>
      <c r="I17" s="85">
        <v>3.0</v>
      </c>
      <c r="J17" s="62">
        <v>3.0</v>
      </c>
      <c r="K17" s="62">
        <v>3.0</v>
      </c>
      <c r="L17" s="62">
        <v>3.0</v>
      </c>
      <c r="M17" s="65">
        <v>3.0</v>
      </c>
      <c r="N17" s="65">
        <v>3.0</v>
      </c>
      <c r="O17" s="62">
        <v>3.0</v>
      </c>
      <c r="P17" s="62">
        <v>3.0</v>
      </c>
      <c r="Q17" s="365">
        <f t="shared" si="4"/>
        <v>3</v>
      </c>
      <c r="R17" s="62">
        <v>4.0</v>
      </c>
      <c r="S17" s="62">
        <v>4.0</v>
      </c>
      <c r="T17" s="62">
        <v>3.0</v>
      </c>
      <c r="U17" s="62">
        <v>3.0</v>
      </c>
      <c r="V17" s="68">
        <f t="shared" si="14"/>
        <v>3.333333333</v>
      </c>
      <c r="W17" s="62">
        <v>4.0</v>
      </c>
      <c r="X17" s="62">
        <v>3.0</v>
      </c>
      <c r="Y17" s="62">
        <v>3.0</v>
      </c>
      <c r="Z17" s="69">
        <f t="shared" si="6"/>
        <v>3.333333333</v>
      </c>
      <c r="AA17" s="62">
        <v>4.0</v>
      </c>
      <c r="AB17" s="62">
        <v>4.0</v>
      </c>
      <c r="AC17" s="62">
        <v>3.0</v>
      </c>
      <c r="AD17" s="62">
        <v>3.0</v>
      </c>
      <c r="AE17" s="67">
        <v>3.0</v>
      </c>
      <c r="AF17" s="64">
        <v>3.0</v>
      </c>
      <c r="AG17" s="64">
        <v>3.0</v>
      </c>
      <c r="AH17" s="64">
        <v>3.0</v>
      </c>
      <c r="AI17" s="64">
        <v>3.0</v>
      </c>
      <c r="AJ17" s="64">
        <v>3.0</v>
      </c>
      <c r="AK17" s="64">
        <v>3.0</v>
      </c>
      <c r="AL17" s="70">
        <f t="shared" si="13"/>
        <v>3</v>
      </c>
      <c r="AM17" s="365">
        <f t="shared" si="15"/>
        <v>3</v>
      </c>
    </row>
    <row r="18" ht="15.75" customHeight="1">
      <c r="A18" s="74">
        <v>11.0</v>
      </c>
      <c r="B18" s="438" t="s">
        <v>480</v>
      </c>
      <c r="C18" s="62" t="s">
        <v>44</v>
      </c>
      <c r="D18" s="62">
        <v>3.0</v>
      </c>
      <c r="E18" s="62">
        <v>3.0</v>
      </c>
      <c r="F18" s="305">
        <f t="shared" si="2"/>
        <v>3</v>
      </c>
      <c r="G18" s="62">
        <v>3.0</v>
      </c>
      <c r="H18" s="62">
        <v>3.0</v>
      </c>
      <c r="I18" s="85">
        <v>3.0</v>
      </c>
      <c r="J18" s="62">
        <v>3.0</v>
      </c>
      <c r="K18" s="62">
        <v>3.0</v>
      </c>
      <c r="L18" s="62">
        <v>3.0</v>
      </c>
      <c r="M18" s="65">
        <v>3.0</v>
      </c>
      <c r="N18" s="65">
        <v>3.0</v>
      </c>
      <c r="O18" s="62">
        <v>3.0</v>
      </c>
      <c r="P18" s="62">
        <v>3.0</v>
      </c>
      <c r="Q18" s="365">
        <f t="shared" si="4"/>
        <v>3</v>
      </c>
      <c r="R18" s="62">
        <v>4.0</v>
      </c>
      <c r="S18" s="62">
        <v>4.0</v>
      </c>
      <c r="T18" s="62">
        <v>3.0</v>
      </c>
      <c r="U18" s="62">
        <v>3.0</v>
      </c>
      <c r="V18" s="68">
        <f t="shared" si="14"/>
        <v>3.333333333</v>
      </c>
      <c r="W18" s="62">
        <v>4.0</v>
      </c>
      <c r="X18" s="62">
        <v>3.0</v>
      </c>
      <c r="Y18" s="62">
        <v>3.0</v>
      </c>
      <c r="Z18" s="69">
        <f t="shared" si="6"/>
        <v>3.333333333</v>
      </c>
      <c r="AA18" s="62">
        <v>4.0</v>
      </c>
      <c r="AB18" s="62">
        <v>4.0</v>
      </c>
      <c r="AC18" s="62">
        <v>3.0</v>
      </c>
      <c r="AD18" s="62">
        <v>3.0</v>
      </c>
      <c r="AE18" s="67">
        <v>3.0</v>
      </c>
      <c r="AF18" s="64">
        <v>3.0</v>
      </c>
      <c r="AG18" s="64">
        <v>3.0</v>
      </c>
      <c r="AH18" s="64">
        <v>3.0</v>
      </c>
      <c r="AI18" s="64">
        <v>3.0</v>
      </c>
      <c r="AJ18" s="64">
        <v>3.0</v>
      </c>
      <c r="AK18" s="64">
        <v>3.0</v>
      </c>
      <c r="AL18" s="70">
        <f t="shared" si="13"/>
        <v>3</v>
      </c>
      <c r="AM18" s="365">
        <f t="shared" si="15"/>
        <v>3</v>
      </c>
    </row>
    <row r="19" ht="15.75" customHeight="1">
      <c r="A19" s="74">
        <v>12.0</v>
      </c>
      <c r="B19" s="438" t="s">
        <v>481</v>
      </c>
      <c r="C19" s="62" t="s">
        <v>44</v>
      </c>
      <c r="D19" s="62">
        <v>5.0</v>
      </c>
      <c r="E19" s="62">
        <v>5.0</v>
      </c>
      <c r="F19" s="296">
        <f t="shared" si="2"/>
        <v>5</v>
      </c>
      <c r="G19" s="62">
        <v>5.0</v>
      </c>
      <c r="H19" s="62">
        <v>5.0</v>
      </c>
      <c r="I19" s="85">
        <f>SUM(G19:H19)/2</f>
        <v>5</v>
      </c>
      <c r="J19" s="62">
        <v>5.0</v>
      </c>
      <c r="K19" s="62">
        <v>5.0</v>
      </c>
      <c r="L19" s="62">
        <v>5.0</v>
      </c>
      <c r="M19" s="65">
        <v>5.0</v>
      </c>
      <c r="N19" s="65">
        <v>5.0</v>
      </c>
      <c r="O19" s="62">
        <v>5.0</v>
      </c>
      <c r="P19" s="62">
        <v>5.0</v>
      </c>
      <c r="Q19" s="365">
        <f t="shared" si="4"/>
        <v>5</v>
      </c>
      <c r="R19" s="62">
        <v>6.0</v>
      </c>
      <c r="S19" s="62">
        <v>6.0</v>
      </c>
      <c r="T19" s="62">
        <v>5.0</v>
      </c>
      <c r="U19" s="62">
        <v>5.0</v>
      </c>
      <c r="V19" s="68">
        <f t="shared" si="14"/>
        <v>5.333333333</v>
      </c>
      <c r="W19" s="62">
        <v>6.0</v>
      </c>
      <c r="X19" s="62">
        <v>5.0</v>
      </c>
      <c r="Y19" s="62">
        <v>5.0</v>
      </c>
      <c r="Z19" s="69">
        <f t="shared" si="6"/>
        <v>5.333333333</v>
      </c>
      <c r="AA19" s="62">
        <v>6.0</v>
      </c>
      <c r="AB19" s="62">
        <v>6.0</v>
      </c>
      <c r="AC19" s="62">
        <v>5.0</v>
      </c>
      <c r="AD19" s="62">
        <v>5.0</v>
      </c>
      <c r="AE19" s="67">
        <f>SUM(AA19:AD19)/4</f>
        <v>5.5</v>
      </c>
      <c r="AF19" s="91">
        <v>6.0</v>
      </c>
      <c r="AG19" s="64">
        <v>5.0</v>
      </c>
      <c r="AH19" s="64">
        <v>5.0</v>
      </c>
      <c r="AI19" s="64">
        <v>5.0</v>
      </c>
      <c r="AJ19" s="64">
        <v>5.0</v>
      </c>
      <c r="AK19" s="64">
        <v>5.0</v>
      </c>
      <c r="AL19" s="70">
        <f t="shared" si="13"/>
        <v>5</v>
      </c>
      <c r="AM19" s="365">
        <f t="shared" si="15"/>
        <v>5</v>
      </c>
    </row>
    <row r="20" ht="15.75" customHeight="1">
      <c r="A20" s="74">
        <v>13.0</v>
      </c>
      <c r="B20" s="438" t="s">
        <v>482</v>
      </c>
      <c r="C20" s="62" t="s">
        <v>44</v>
      </c>
      <c r="D20" s="62">
        <v>3.0</v>
      </c>
      <c r="E20" s="62">
        <v>3.0</v>
      </c>
      <c r="F20" s="305">
        <f t="shared" si="2"/>
        <v>3</v>
      </c>
      <c r="G20" s="62">
        <v>3.0</v>
      </c>
      <c r="H20" s="62">
        <v>3.0</v>
      </c>
      <c r="I20" s="85">
        <v>3.0</v>
      </c>
      <c r="J20" s="62">
        <v>3.0</v>
      </c>
      <c r="K20" s="62">
        <v>3.0</v>
      </c>
      <c r="L20" s="62">
        <v>3.0</v>
      </c>
      <c r="M20" s="65">
        <v>3.0</v>
      </c>
      <c r="N20" s="65">
        <v>3.0</v>
      </c>
      <c r="O20" s="62">
        <v>3.0</v>
      </c>
      <c r="P20" s="62">
        <v>3.0</v>
      </c>
      <c r="Q20" s="365">
        <f t="shared" si="4"/>
        <v>3</v>
      </c>
      <c r="R20" s="62">
        <v>4.0</v>
      </c>
      <c r="S20" s="62">
        <v>4.0</v>
      </c>
      <c r="T20" s="62">
        <v>3.0</v>
      </c>
      <c r="U20" s="62">
        <v>3.0</v>
      </c>
      <c r="V20" s="68">
        <f t="shared" si="14"/>
        <v>3.333333333</v>
      </c>
      <c r="W20" s="62">
        <v>4.0</v>
      </c>
      <c r="X20" s="62">
        <v>3.0</v>
      </c>
      <c r="Y20" s="62">
        <v>3.0</v>
      </c>
      <c r="Z20" s="69">
        <f t="shared" si="6"/>
        <v>3.333333333</v>
      </c>
      <c r="AA20" s="62">
        <v>4.0</v>
      </c>
      <c r="AB20" s="62">
        <v>4.0</v>
      </c>
      <c r="AC20" s="62">
        <v>3.0</v>
      </c>
      <c r="AD20" s="62">
        <v>3.0</v>
      </c>
      <c r="AE20" s="67">
        <v>3.0</v>
      </c>
      <c r="AF20" s="64">
        <v>3.0</v>
      </c>
      <c r="AG20" s="64">
        <v>3.0</v>
      </c>
      <c r="AH20" s="64">
        <v>3.0</v>
      </c>
      <c r="AI20" s="64">
        <v>3.0</v>
      </c>
      <c r="AJ20" s="64">
        <v>3.0</v>
      </c>
      <c r="AK20" s="64">
        <v>3.0</v>
      </c>
      <c r="AL20" s="70">
        <f t="shared" si="13"/>
        <v>3</v>
      </c>
      <c r="AM20" s="365">
        <f t="shared" si="15"/>
        <v>3</v>
      </c>
    </row>
    <row r="21" ht="15.75" customHeight="1">
      <c r="A21" s="74">
        <v>14.0</v>
      </c>
      <c r="B21" s="438" t="s">
        <v>483</v>
      </c>
      <c r="C21" s="62" t="s">
        <v>44</v>
      </c>
      <c r="D21" s="62">
        <v>6.0</v>
      </c>
      <c r="E21" s="62">
        <v>6.0</v>
      </c>
      <c r="F21" s="305">
        <f t="shared" si="2"/>
        <v>6</v>
      </c>
      <c r="G21" s="62">
        <v>6.0</v>
      </c>
      <c r="H21" s="62">
        <v>6.0</v>
      </c>
      <c r="I21" s="85">
        <f t="shared" ref="I21:I26" si="16">SUM(G21:H21)/2</f>
        <v>6</v>
      </c>
      <c r="J21" s="62">
        <v>6.0</v>
      </c>
      <c r="K21" s="62">
        <v>5.0</v>
      </c>
      <c r="L21" s="62">
        <v>6.0</v>
      </c>
      <c r="M21" s="65">
        <v>6.0</v>
      </c>
      <c r="N21" s="65">
        <v>6.0</v>
      </c>
      <c r="O21" s="62">
        <v>6.0</v>
      </c>
      <c r="P21" s="62">
        <v>6.0</v>
      </c>
      <c r="Q21" s="365">
        <f t="shared" si="4"/>
        <v>6</v>
      </c>
      <c r="R21" s="62">
        <v>6.0</v>
      </c>
      <c r="S21" s="62">
        <v>6.0</v>
      </c>
      <c r="T21" s="62">
        <v>6.0</v>
      </c>
      <c r="U21" s="62">
        <v>6.0</v>
      </c>
      <c r="V21" s="68">
        <f t="shared" si="14"/>
        <v>6</v>
      </c>
      <c r="W21" s="62">
        <v>6.0</v>
      </c>
      <c r="X21" s="62">
        <v>6.0</v>
      </c>
      <c r="Y21" s="62">
        <v>6.0</v>
      </c>
      <c r="Z21" s="69">
        <f t="shared" si="6"/>
        <v>6</v>
      </c>
      <c r="AA21" s="62">
        <v>6.0</v>
      </c>
      <c r="AB21" s="62">
        <v>6.0</v>
      </c>
      <c r="AC21" s="62">
        <v>6.0</v>
      </c>
      <c r="AD21" s="62">
        <v>6.0</v>
      </c>
      <c r="AE21" s="67">
        <f t="shared" ref="AE21:AE24" si="17">SUM(AA21:AD21)/4</f>
        <v>6</v>
      </c>
      <c r="AF21" s="64">
        <v>6.0</v>
      </c>
      <c r="AG21" s="64">
        <v>6.0</v>
      </c>
      <c r="AH21" s="64">
        <v>6.0</v>
      </c>
      <c r="AI21" s="64">
        <v>6.0</v>
      </c>
      <c r="AJ21" s="64">
        <v>6.0</v>
      </c>
      <c r="AK21" s="64">
        <v>5.0</v>
      </c>
      <c r="AL21" s="70">
        <f t="shared" si="13"/>
        <v>5.5</v>
      </c>
      <c r="AM21" s="365">
        <v>6.0</v>
      </c>
    </row>
    <row r="22" ht="15.75" customHeight="1">
      <c r="A22" s="74">
        <v>15.0</v>
      </c>
      <c r="B22" s="438" t="s">
        <v>484</v>
      </c>
      <c r="C22" s="62" t="s">
        <v>44</v>
      </c>
      <c r="D22" s="62">
        <v>6.0</v>
      </c>
      <c r="E22" s="62">
        <v>6.0</v>
      </c>
      <c r="F22" s="305">
        <f t="shared" si="2"/>
        <v>6</v>
      </c>
      <c r="G22" s="62">
        <v>6.0</v>
      </c>
      <c r="H22" s="62">
        <v>6.0</v>
      </c>
      <c r="I22" s="85">
        <f t="shared" si="16"/>
        <v>6</v>
      </c>
      <c r="J22" s="62">
        <v>6.0</v>
      </c>
      <c r="K22" s="62">
        <v>6.0</v>
      </c>
      <c r="L22" s="62">
        <v>6.0</v>
      </c>
      <c r="M22" s="65">
        <v>6.0</v>
      </c>
      <c r="N22" s="65">
        <v>6.0</v>
      </c>
      <c r="O22" s="62">
        <v>6.0</v>
      </c>
      <c r="P22" s="62">
        <v>6.0</v>
      </c>
      <c r="Q22" s="365">
        <f t="shared" si="4"/>
        <v>6</v>
      </c>
      <c r="R22" s="62">
        <v>6.0</v>
      </c>
      <c r="S22" s="62">
        <v>6.0</v>
      </c>
      <c r="T22" s="62">
        <v>6.0</v>
      </c>
      <c r="U22" s="62">
        <v>6.0</v>
      </c>
      <c r="V22" s="68">
        <f t="shared" si="14"/>
        <v>6</v>
      </c>
      <c r="W22" s="62">
        <v>6.0</v>
      </c>
      <c r="X22" s="62">
        <v>6.0</v>
      </c>
      <c r="Y22" s="62">
        <v>6.0</v>
      </c>
      <c r="Z22" s="69">
        <f t="shared" si="6"/>
        <v>6</v>
      </c>
      <c r="AA22" s="62">
        <v>6.0</v>
      </c>
      <c r="AB22" s="62">
        <v>6.0</v>
      </c>
      <c r="AC22" s="62">
        <v>6.0</v>
      </c>
      <c r="AD22" s="62">
        <v>6.0</v>
      </c>
      <c r="AE22" s="67">
        <f t="shared" si="17"/>
        <v>6</v>
      </c>
      <c r="AF22" s="64">
        <v>6.0</v>
      </c>
      <c r="AG22" s="64">
        <v>6.0</v>
      </c>
      <c r="AH22" s="64">
        <v>6.0</v>
      </c>
      <c r="AI22" s="64">
        <v>6.0</v>
      </c>
      <c r="AJ22" s="64">
        <v>6.0</v>
      </c>
      <c r="AK22" s="64">
        <v>4.0</v>
      </c>
      <c r="AL22" s="70">
        <f t="shared" si="13"/>
        <v>5</v>
      </c>
      <c r="AM22" s="365">
        <v>6.0</v>
      </c>
    </row>
    <row r="23" ht="15.75" customHeight="1">
      <c r="A23" s="74">
        <v>16.0</v>
      </c>
      <c r="B23" s="439" t="s">
        <v>485</v>
      </c>
      <c r="C23" s="62" t="s">
        <v>44</v>
      </c>
      <c r="D23" s="62">
        <v>5.0</v>
      </c>
      <c r="E23" s="62">
        <v>5.0</v>
      </c>
      <c r="F23" s="296">
        <f t="shared" si="2"/>
        <v>5</v>
      </c>
      <c r="G23" s="62">
        <v>5.0</v>
      </c>
      <c r="H23" s="62">
        <v>5.0</v>
      </c>
      <c r="I23" s="85">
        <f t="shared" si="16"/>
        <v>5</v>
      </c>
      <c r="J23" s="62">
        <v>5.0</v>
      </c>
      <c r="K23" s="62">
        <v>5.0</v>
      </c>
      <c r="L23" s="62">
        <v>5.0</v>
      </c>
      <c r="M23" s="65">
        <v>5.0</v>
      </c>
      <c r="N23" s="65">
        <v>5.0</v>
      </c>
      <c r="O23" s="62">
        <v>5.0</v>
      </c>
      <c r="P23" s="62">
        <v>5.0</v>
      </c>
      <c r="Q23" s="365">
        <f t="shared" si="4"/>
        <v>5</v>
      </c>
      <c r="R23" s="62">
        <v>6.0</v>
      </c>
      <c r="S23" s="62">
        <v>6.0</v>
      </c>
      <c r="T23" s="62">
        <v>5.0</v>
      </c>
      <c r="U23" s="62">
        <v>5.0</v>
      </c>
      <c r="V23" s="68">
        <f t="shared" si="14"/>
        <v>5.333333333</v>
      </c>
      <c r="W23" s="62">
        <v>6.0</v>
      </c>
      <c r="X23" s="62">
        <v>5.0</v>
      </c>
      <c r="Y23" s="62">
        <v>5.0</v>
      </c>
      <c r="Z23" s="69">
        <f t="shared" si="6"/>
        <v>5.333333333</v>
      </c>
      <c r="AA23" s="62">
        <v>6.0</v>
      </c>
      <c r="AB23" s="62">
        <v>6.0</v>
      </c>
      <c r="AC23" s="62">
        <v>5.0</v>
      </c>
      <c r="AD23" s="62">
        <v>5.0</v>
      </c>
      <c r="AE23" s="67">
        <f t="shared" si="17"/>
        <v>5.5</v>
      </c>
      <c r="AF23" s="91">
        <v>6.0</v>
      </c>
      <c r="AG23" s="64">
        <v>5.0</v>
      </c>
      <c r="AH23" s="64">
        <v>5.0</v>
      </c>
      <c r="AI23" s="64">
        <v>5.0</v>
      </c>
      <c r="AJ23" s="64">
        <v>5.0</v>
      </c>
      <c r="AK23" s="64">
        <v>5.0</v>
      </c>
      <c r="AL23" s="70">
        <f t="shared" si="13"/>
        <v>5</v>
      </c>
      <c r="AM23" s="365">
        <f t="shared" ref="AM23:AM24" si="18">SUM(AK23:AL23)/2</f>
        <v>5</v>
      </c>
    </row>
    <row r="24" ht="15.75" customHeight="1">
      <c r="A24" s="74">
        <v>17.0</v>
      </c>
      <c r="B24" s="437" t="s">
        <v>486</v>
      </c>
      <c r="C24" s="62" t="s">
        <v>44</v>
      </c>
      <c r="D24" s="62">
        <v>5.0</v>
      </c>
      <c r="E24" s="62">
        <v>5.0</v>
      </c>
      <c r="F24" s="296">
        <f t="shared" si="2"/>
        <v>5</v>
      </c>
      <c r="G24" s="62">
        <v>5.0</v>
      </c>
      <c r="H24" s="62">
        <v>5.0</v>
      </c>
      <c r="I24" s="85">
        <f t="shared" si="16"/>
        <v>5</v>
      </c>
      <c r="J24" s="62">
        <v>5.0</v>
      </c>
      <c r="K24" s="62">
        <v>5.0</v>
      </c>
      <c r="L24" s="62">
        <v>5.0</v>
      </c>
      <c r="M24" s="65">
        <v>5.0</v>
      </c>
      <c r="N24" s="65">
        <v>5.0</v>
      </c>
      <c r="O24" s="62">
        <v>5.0</v>
      </c>
      <c r="P24" s="62">
        <v>5.0</v>
      </c>
      <c r="Q24" s="365">
        <f t="shared" si="4"/>
        <v>5</v>
      </c>
      <c r="R24" s="62">
        <v>6.0</v>
      </c>
      <c r="S24" s="62">
        <v>6.0</v>
      </c>
      <c r="T24" s="62">
        <v>5.0</v>
      </c>
      <c r="U24" s="62">
        <v>5.0</v>
      </c>
      <c r="V24" s="68">
        <f t="shared" si="14"/>
        <v>5.333333333</v>
      </c>
      <c r="W24" s="62">
        <v>6.0</v>
      </c>
      <c r="X24" s="62">
        <v>5.0</v>
      </c>
      <c r="Y24" s="62">
        <v>5.0</v>
      </c>
      <c r="Z24" s="69">
        <f t="shared" si="6"/>
        <v>5.333333333</v>
      </c>
      <c r="AA24" s="62">
        <v>6.0</v>
      </c>
      <c r="AB24" s="62">
        <v>6.0</v>
      </c>
      <c r="AC24" s="62">
        <v>5.0</v>
      </c>
      <c r="AD24" s="62">
        <v>5.0</v>
      </c>
      <c r="AE24" s="67">
        <f t="shared" si="17"/>
        <v>5.5</v>
      </c>
      <c r="AF24" s="91">
        <v>6.0</v>
      </c>
      <c r="AG24" s="64">
        <v>5.0</v>
      </c>
      <c r="AH24" s="64">
        <v>5.0</v>
      </c>
      <c r="AI24" s="64">
        <v>5.0</v>
      </c>
      <c r="AJ24" s="64">
        <v>5.0</v>
      </c>
      <c r="AK24" s="64">
        <v>5.0</v>
      </c>
      <c r="AL24" s="70">
        <f t="shared" si="13"/>
        <v>5</v>
      </c>
      <c r="AM24" s="365">
        <f t="shared" si="18"/>
        <v>5</v>
      </c>
    </row>
    <row r="25" ht="15.75" customHeight="1">
      <c r="A25" s="74">
        <v>18.0</v>
      </c>
      <c r="B25" s="438" t="s">
        <v>487</v>
      </c>
      <c r="C25" s="62" t="s">
        <v>44</v>
      </c>
      <c r="D25" s="62">
        <v>6.0</v>
      </c>
      <c r="E25" s="62">
        <v>6.0</v>
      </c>
      <c r="F25" s="305">
        <f t="shared" si="2"/>
        <v>6</v>
      </c>
      <c r="G25" s="62">
        <v>6.0</v>
      </c>
      <c r="H25" s="62">
        <v>6.0</v>
      </c>
      <c r="I25" s="85">
        <f t="shared" si="16"/>
        <v>6</v>
      </c>
      <c r="J25" s="62">
        <v>6.0</v>
      </c>
      <c r="K25" s="62">
        <v>5.0</v>
      </c>
      <c r="L25" s="62">
        <v>5.0</v>
      </c>
      <c r="M25" s="65">
        <v>6.0</v>
      </c>
      <c r="N25" s="65">
        <v>6.0</v>
      </c>
      <c r="O25" s="62">
        <v>6.0</v>
      </c>
      <c r="P25" s="62">
        <v>6.0</v>
      </c>
      <c r="Q25" s="365">
        <f t="shared" si="4"/>
        <v>6</v>
      </c>
      <c r="R25" s="62">
        <v>6.0</v>
      </c>
      <c r="S25" s="62">
        <v>6.0</v>
      </c>
      <c r="T25" s="62">
        <v>6.0</v>
      </c>
      <c r="U25" s="62">
        <v>6.0</v>
      </c>
      <c r="V25" s="68">
        <f t="shared" si="14"/>
        <v>6</v>
      </c>
      <c r="W25" s="62">
        <v>6.0</v>
      </c>
      <c r="X25" s="62">
        <v>5.0</v>
      </c>
      <c r="Y25" s="62">
        <v>6.0</v>
      </c>
      <c r="Z25" s="69">
        <f t="shared" si="6"/>
        <v>5.666666667</v>
      </c>
      <c r="AA25" s="62">
        <v>6.0</v>
      </c>
      <c r="AB25" s="62">
        <v>6.0</v>
      </c>
      <c r="AC25" s="62">
        <v>6.0</v>
      </c>
      <c r="AD25" s="62">
        <v>6.0</v>
      </c>
      <c r="AE25" s="67">
        <v>6.0</v>
      </c>
      <c r="AF25" s="64">
        <v>6.0</v>
      </c>
      <c r="AG25" s="64">
        <v>6.0</v>
      </c>
      <c r="AH25" s="64">
        <v>6.0</v>
      </c>
      <c r="AI25" s="64">
        <v>5.0</v>
      </c>
      <c r="AJ25" s="64">
        <v>6.0</v>
      </c>
      <c r="AK25" s="64">
        <v>5.0</v>
      </c>
      <c r="AL25" s="70">
        <f t="shared" si="13"/>
        <v>5.5</v>
      </c>
      <c r="AM25" s="365">
        <v>6.0</v>
      </c>
    </row>
    <row r="26" ht="15.75" customHeight="1">
      <c r="A26" s="74">
        <v>19.0</v>
      </c>
      <c r="B26" s="438" t="s">
        <v>488</v>
      </c>
      <c r="C26" s="62" t="s">
        <v>44</v>
      </c>
      <c r="D26" s="62">
        <v>6.0</v>
      </c>
      <c r="E26" s="62">
        <v>6.0</v>
      </c>
      <c r="F26" s="305">
        <f t="shared" si="2"/>
        <v>6</v>
      </c>
      <c r="G26" s="62">
        <v>6.0</v>
      </c>
      <c r="H26" s="62">
        <v>6.0</v>
      </c>
      <c r="I26" s="85">
        <f t="shared" si="16"/>
        <v>6</v>
      </c>
      <c r="J26" s="62">
        <v>6.0</v>
      </c>
      <c r="K26" s="62">
        <v>5.0</v>
      </c>
      <c r="L26" s="62">
        <v>6.0</v>
      </c>
      <c r="M26" s="65">
        <v>6.0</v>
      </c>
      <c r="N26" s="65">
        <v>6.0</v>
      </c>
      <c r="O26" s="62">
        <v>6.0</v>
      </c>
      <c r="P26" s="62">
        <v>6.0</v>
      </c>
      <c r="Q26" s="365">
        <f t="shared" si="4"/>
        <v>6</v>
      </c>
      <c r="R26" s="62">
        <v>6.0</v>
      </c>
      <c r="S26" s="62">
        <v>6.0</v>
      </c>
      <c r="T26" s="62">
        <v>6.0</v>
      </c>
      <c r="U26" s="62">
        <v>6.0</v>
      </c>
      <c r="V26" s="68">
        <f t="shared" si="14"/>
        <v>6</v>
      </c>
      <c r="W26" s="62">
        <v>6.0</v>
      </c>
      <c r="X26" s="62">
        <v>6.0</v>
      </c>
      <c r="Y26" s="62">
        <v>6.0</v>
      </c>
      <c r="Z26" s="69">
        <f t="shared" si="6"/>
        <v>6</v>
      </c>
      <c r="AA26" s="62">
        <v>6.0</v>
      </c>
      <c r="AB26" s="62">
        <v>6.0</v>
      </c>
      <c r="AC26" s="62">
        <v>6.0</v>
      </c>
      <c r="AD26" s="62">
        <v>6.0</v>
      </c>
      <c r="AE26" s="67">
        <f>SUM(AA26:AD26)/4</f>
        <v>6</v>
      </c>
      <c r="AF26" s="64">
        <v>6.0</v>
      </c>
      <c r="AG26" s="64">
        <v>6.0</v>
      </c>
      <c r="AH26" s="64">
        <v>6.0</v>
      </c>
      <c r="AI26" s="64">
        <v>6.0</v>
      </c>
      <c r="AJ26" s="64">
        <v>6.0</v>
      </c>
      <c r="AK26" s="64">
        <v>5.0</v>
      </c>
      <c r="AL26" s="70">
        <f t="shared" si="13"/>
        <v>5.5</v>
      </c>
      <c r="AM26" s="365">
        <v>6.0</v>
      </c>
    </row>
    <row r="27" ht="15.75" customHeight="1">
      <c r="A27" s="74">
        <v>20.0</v>
      </c>
      <c r="B27" s="438" t="s">
        <v>489</v>
      </c>
      <c r="C27" s="62" t="s">
        <v>44</v>
      </c>
      <c r="D27" s="62">
        <v>3.0</v>
      </c>
      <c r="E27" s="62">
        <v>3.0</v>
      </c>
      <c r="F27" s="305">
        <f t="shared" si="2"/>
        <v>3</v>
      </c>
      <c r="G27" s="62">
        <v>3.0</v>
      </c>
      <c r="H27" s="62">
        <v>3.0</v>
      </c>
      <c r="I27" s="85">
        <v>3.0</v>
      </c>
      <c r="J27" s="62">
        <v>3.0</v>
      </c>
      <c r="K27" s="62">
        <v>3.0</v>
      </c>
      <c r="L27" s="62">
        <v>3.0</v>
      </c>
      <c r="M27" s="65">
        <v>3.0</v>
      </c>
      <c r="N27" s="65">
        <v>3.0</v>
      </c>
      <c r="O27" s="62">
        <v>3.0</v>
      </c>
      <c r="P27" s="62">
        <v>3.0</v>
      </c>
      <c r="Q27" s="365">
        <f t="shared" si="4"/>
        <v>3</v>
      </c>
      <c r="R27" s="62">
        <v>4.0</v>
      </c>
      <c r="S27" s="62">
        <v>4.0</v>
      </c>
      <c r="T27" s="62">
        <v>3.0</v>
      </c>
      <c r="U27" s="62">
        <v>3.0</v>
      </c>
      <c r="V27" s="68">
        <f t="shared" si="14"/>
        <v>3.333333333</v>
      </c>
      <c r="W27" s="62">
        <v>4.0</v>
      </c>
      <c r="X27" s="62">
        <v>3.0</v>
      </c>
      <c r="Y27" s="62">
        <v>3.0</v>
      </c>
      <c r="Z27" s="69">
        <f t="shared" si="6"/>
        <v>3.333333333</v>
      </c>
      <c r="AA27" s="62">
        <v>4.0</v>
      </c>
      <c r="AB27" s="62">
        <v>4.0</v>
      </c>
      <c r="AC27" s="62">
        <v>3.0</v>
      </c>
      <c r="AD27" s="62">
        <v>3.0</v>
      </c>
      <c r="AE27" s="67">
        <v>3.0</v>
      </c>
      <c r="AF27" s="64">
        <v>3.0</v>
      </c>
      <c r="AG27" s="64">
        <v>3.0</v>
      </c>
      <c r="AH27" s="64">
        <v>3.0</v>
      </c>
      <c r="AI27" s="64">
        <v>3.0</v>
      </c>
      <c r="AJ27" s="64">
        <v>3.0</v>
      </c>
      <c r="AK27" s="64">
        <v>3.0</v>
      </c>
      <c r="AL27" s="70">
        <f t="shared" si="13"/>
        <v>3</v>
      </c>
      <c r="AM27" s="365">
        <f>SUM(AK27:AL27)/2</f>
        <v>3</v>
      </c>
    </row>
    <row r="28" ht="15.75" customHeight="1">
      <c r="A28" s="74">
        <v>21.0</v>
      </c>
      <c r="B28" s="437" t="s">
        <v>490</v>
      </c>
      <c r="C28" s="62" t="s">
        <v>44</v>
      </c>
      <c r="D28" s="62">
        <v>6.0</v>
      </c>
      <c r="E28" s="62">
        <v>6.0</v>
      </c>
      <c r="F28" s="305">
        <f t="shared" si="2"/>
        <v>6</v>
      </c>
      <c r="G28" s="62">
        <v>6.0</v>
      </c>
      <c r="H28" s="62">
        <v>6.0</v>
      </c>
      <c r="I28" s="85">
        <f t="shared" ref="I28:I45" si="19">SUM(G28:H28)/2</f>
        <v>6</v>
      </c>
      <c r="J28" s="62">
        <v>6.0</v>
      </c>
      <c r="K28" s="62">
        <v>5.0</v>
      </c>
      <c r="L28" s="62">
        <v>6.0</v>
      </c>
      <c r="M28" s="65">
        <v>6.0</v>
      </c>
      <c r="N28" s="65">
        <v>6.0</v>
      </c>
      <c r="O28" s="62">
        <v>6.0</v>
      </c>
      <c r="P28" s="62">
        <v>6.0</v>
      </c>
      <c r="Q28" s="365">
        <f t="shared" si="4"/>
        <v>6</v>
      </c>
      <c r="R28" s="62">
        <v>6.0</v>
      </c>
      <c r="S28" s="62">
        <v>6.0</v>
      </c>
      <c r="T28" s="62">
        <v>6.0</v>
      </c>
      <c r="U28" s="62">
        <v>6.0</v>
      </c>
      <c r="V28" s="68">
        <f t="shared" si="14"/>
        <v>6</v>
      </c>
      <c r="W28" s="62">
        <v>6.0</v>
      </c>
      <c r="X28" s="62">
        <v>6.0</v>
      </c>
      <c r="Y28" s="62">
        <v>6.0</v>
      </c>
      <c r="Z28" s="69">
        <f t="shared" si="6"/>
        <v>6</v>
      </c>
      <c r="AA28" s="62">
        <v>6.0</v>
      </c>
      <c r="AB28" s="62">
        <v>6.0</v>
      </c>
      <c r="AC28" s="62">
        <v>6.0</v>
      </c>
      <c r="AD28" s="62">
        <v>6.0</v>
      </c>
      <c r="AE28" s="67">
        <f t="shared" ref="AE28:AE38" si="20">SUM(AA28:AD28)/4</f>
        <v>6</v>
      </c>
      <c r="AF28" s="64">
        <v>6.0</v>
      </c>
      <c r="AG28" s="64">
        <v>6.0</v>
      </c>
      <c r="AH28" s="64">
        <v>6.0</v>
      </c>
      <c r="AI28" s="64">
        <v>6.0</v>
      </c>
      <c r="AJ28" s="64">
        <v>6.0</v>
      </c>
      <c r="AK28" s="64">
        <v>5.0</v>
      </c>
      <c r="AL28" s="70">
        <f t="shared" si="13"/>
        <v>5.5</v>
      </c>
      <c r="AM28" s="365">
        <v>6.0</v>
      </c>
    </row>
    <row r="29" ht="15.75" customHeight="1">
      <c r="A29" s="74">
        <v>22.0</v>
      </c>
      <c r="B29" s="437" t="s">
        <v>491</v>
      </c>
      <c r="C29" s="62" t="s">
        <v>45</v>
      </c>
      <c r="D29" s="62">
        <v>4.0</v>
      </c>
      <c r="E29" s="62">
        <v>4.0</v>
      </c>
      <c r="F29" s="305">
        <f t="shared" si="2"/>
        <v>4</v>
      </c>
      <c r="G29" s="62">
        <v>3.0</v>
      </c>
      <c r="H29" s="62">
        <v>3.0</v>
      </c>
      <c r="I29" s="85">
        <f t="shared" si="19"/>
        <v>3</v>
      </c>
      <c r="J29" s="62">
        <v>5.0</v>
      </c>
      <c r="K29" s="62">
        <v>4.0</v>
      </c>
      <c r="L29" s="62">
        <v>4.0</v>
      </c>
      <c r="M29" s="65">
        <v>5.0</v>
      </c>
      <c r="N29" s="65">
        <v>5.0</v>
      </c>
      <c r="O29" s="62">
        <v>5.0</v>
      </c>
      <c r="P29" s="62">
        <v>5.0</v>
      </c>
      <c r="Q29" s="365">
        <f t="shared" si="4"/>
        <v>5</v>
      </c>
      <c r="R29" s="62">
        <v>4.0</v>
      </c>
      <c r="S29" s="62">
        <v>4.0</v>
      </c>
      <c r="T29" s="62">
        <v>4.0</v>
      </c>
      <c r="U29" s="62">
        <v>4.0</v>
      </c>
      <c r="V29" s="68">
        <f t="shared" si="14"/>
        <v>4</v>
      </c>
      <c r="W29" s="62">
        <v>4.0</v>
      </c>
      <c r="X29" s="62">
        <v>4.0</v>
      </c>
      <c r="Y29" s="62">
        <v>4.0</v>
      </c>
      <c r="Z29" s="69">
        <f t="shared" si="6"/>
        <v>4</v>
      </c>
      <c r="AA29" s="62">
        <v>4.0</v>
      </c>
      <c r="AB29" s="62">
        <v>4.0</v>
      </c>
      <c r="AC29" s="62">
        <v>4.0</v>
      </c>
      <c r="AD29" s="62">
        <v>4.0</v>
      </c>
      <c r="AE29" s="67">
        <f t="shared" si="20"/>
        <v>4</v>
      </c>
      <c r="AF29" s="64">
        <v>4.0</v>
      </c>
      <c r="AG29" s="64">
        <v>4.0</v>
      </c>
      <c r="AH29" s="64">
        <v>4.0</v>
      </c>
      <c r="AI29" s="64">
        <v>4.0</v>
      </c>
      <c r="AJ29" s="64">
        <v>4.0</v>
      </c>
      <c r="AK29" s="64">
        <v>4.0</v>
      </c>
      <c r="AL29" s="70">
        <f t="shared" si="13"/>
        <v>4</v>
      </c>
      <c r="AM29" s="365">
        <f t="shared" ref="AM29:AM30" si="21">SUM(AK29:AL29)/2</f>
        <v>4</v>
      </c>
    </row>
    <row r="30" ht="15.75" customHeight="1">
      <c r="A30" s="74">
        <v>23.0</v>
      </c>
      <c r="B30" s="437" t="s">
        <v>492</v>
      </c>
      <c r="C30" s="62" t="s">
        <v>45</v>
      </c>
      <c r="D30" s="62">
        <v>4.0</v>
      </c>
      <c r="E30" s="62">
        <v>4.0</v>
      </c>
      <c r="F30" s="305">
        <f t="shared" si="2"/>
        <v>4</v>
      </c>
      <c r="G30" s="62">
        <v>3.0</v>
      </c>
      <c r="H30" s="62">
        <v>3.0</v>
      </c>
      <c r="I30" s="85">
        <f t="shared" si="19"/>
        <v>3</v>
      </c>
      <c r="J30" s="62">
        <v>5.0</v>
      </c>
      <c r="K30" s="62">
        <v>4.0</v>
      </c>
      <c r="L30" s="62">
        <v>4.0</v>
      </c>
      <c r="M30" s="65">
        <v>5.0</v>
      </c>
      <c r="N30" s="65">
        <v>5.0</v>
      </c>
      <c r="O30" s="62">
        <v>5.0</v>
      </c>
      <c r="P30" s="62">
        <v>5.0</v>
      </c>
      <c r="Q30" s="365">
        <f t="shared" si="4"/>
        <v>5</v>
      </c>
      <c r="R30" s="62">
        <v>4.0</v>
      </c>
      <c r="S30" s="62">
        <v>4.0</v>
      </c>
      <c r="T30" s="62">
        <v>4.0</v>
      </c>
      <c r="U30" s="62">
        <v>4.0</v>
      </c>
      <c r="V30" s="68">
        <f t="shared" si="14"/>
        <v>4</v>
      </c>
      <c r="W30" s="62">
        <v>4.0</v>
      </c>
      <c r="X30" s="62">
        <v>4.0</v>
      </c>
      <c r="Y30" s="62">
        <v>4.0</v>
      </c>
      <c r="Z30" s="69">
        <f t="shared" si="6"/>
        <v>4</v>
      </c>
      <c r="AA30" s="62">
        <v>4.0</v>
      </c>
      <c r="AB30" s="62">
        <v>4.0</v>
      </c>
      <c r="AC30" s="62">
        <v>4.0</v>
      </c>
      <c r="AD30" s="62">
        <v>4.0</v>
      </c>
      <c r="AE30" s="67">
        <f t="shared" si="20"/>
        <v>4</v>
      </c>
      <c r="AF30" s="64">
        <v>4.0</v>
      </c>
      <c r="AG30" s="64">
        <v>4.0</v>
      </c>
      <c r="AH30" s="64">
        <v>4.0</v>
      </c>
      <c r="AI30" s="64">
        <v>4.0</v>
      </c>
      <c r="AJ30" s="64">
        <v>4.0</v>
      </c>
      <c r="AK30" s="64">
        <v>4.0</v>
      </c>
      <c r="AL30" s="70">
        <f t="shared" si="13"/>
        <v>4</v>
      </c>
      <c r="AM30" s="365">
        <f t="shared" si="21"/>
        <v>4</v>
      </c>
    </row>
    <row r="31" ht="15.75" customHeight="1">
      <c r="A31" s="74">
        <v>24.0</v>
      </c>
      <c r="B31" s="437" t="s">
        <v>493</v>
      </c>
      <c r="C31" s="62" t="s">
        <v>45</v>
      </c>
      <c r="D31" s="62">
        <v>6.0</v>
      </c>
      <c r="E31" s="62">
        <v>6.0</v>
      </c>
      <c r="F31" s="305">
        <f t="shared" si="2"/>
        <v>6</v>
      </c>
      <c r="G31" s="62">
        <v>6.0</v>
      </c>
      <c r="H31" s="62">
        <v>6.0</v>
      </c>
      <c r="I31" s="85">
        <f t="shared" si="19"/>
        <v>6</v>
      </c>
      <c r="J31" s="62">
        <v>6.0</v>
      </c>
      <c r="K31" s="62">
        <v>5.0</v>
      </c>
      <c r="L31" s="62">
        <v>6.0</v>
      </c>
      <c r="M31" s="65">
        <v>6.0</v>
      </c>
      <c r="N31" s="65">
        <v>6.0</v>
      </c>
      <c r="O31" s="62">
        <v>6.0</v>
      </c>
      <c r="P31" s="62">
        <v>6.0</v>
      </c>
      <c r="Q31" s="365">
        <f t="shared" si="4"/>
        <v>6</v>
      </c>
      <c r="R31" s="62">
        <v>6.0</v>
      </c>
      <c r="S31" s="62">
        <v>6.0</v>
      </c>
      <c r="T31" s="62">
        <v>6.0</v>
      </c>
      <c r="U31" s="62">
        <v>6.0</v>
      </c>
      <c r="V31" s="68">
        <f t="shared" si="14"/>
        <v>6</v>
      </c>
      <c r="W31" s="62">
        <v>6.0</v>
      </c>
      <c r="X31" s="62">
        <v>6.0</v>
      </c>
      <c r="Y31" s="62">
        <v>6.0</v>
      </c>
      <c r="Z31" s="69">
        <f t="shared" si="6"/>
        <v>6</v>
      </c>
      <c r="AA31" s="62">
        <v>6.0</v>
      </c>
      <c r="AB31" s="62">
        <v>6.0</v>
      </c>
      <c r="AC31" s="62">
        <v>6.0</v>
      </c>
      <c r="AD31" s="62">
        <v>6.0</v>
      </c>
      <c r="AE31" s="67">
        <f t="shared" si="20"/>
        <v>6</v>
      </c>
      <c r="AF31" s="64">
        <v>6.0</v>
      </c>
      <c r="AG31" s="64">
        <v>6.0</v>
      </c>
      <c r="AH31" s="64">
        <v>6.0</v>
      </c>
      <c r="AI31" s="64">
        <v>6.0</v>
      </c>
      <c r="AJ31" s="64">
        <v>6.0</v>
      </c>
      <c r="AK31" s="64">
        <v>5.0</v>
      </c>
      <c r="AL31" s="70">
        <f t="shared" si="13"/>
        <v>5.5</v>
      </c>
      <c r="AM31" s="365">
        <v>6.0</v>
      </c>
    </row>
    <row r="32" ht="15.75" customHeight="1">
      <c r="A32" s="74">
        <v>25.0</v>
      </c>
      <c r="B32" s="437" t="s">
        <v>494</v>
      </c>
      <c r="C32" s="62" t="s">
        <v>45</v>
      </c>
      <c r="D32" s="62">
        <v>5.0</v>
      </c>
      <c r="E32" s="62">
        <v>5.0</v>
      </c>
      <c r="F32" s="296">
        <f t="shared" si="2"/>
        <v>5</v>
      </c>
      <c r="G32" s="62">
        <v>5.0</v>
      </c>
      <c r="H32" s="62">
        <v>5.0</v>
      </c>
      <c r="I32" s="85">
        <f t="shared" si="19"/>
        <v>5</v>
      </c>
      <c r="J32" s="62">
        <v>5.0</v>
      </c>
      <c r="K32" s="62">
        <v>5.0</v>
      </c>
      <c r="L32" s="62">
        <v>5.0</v>
      </c>
      <c r="M32" s="65">
        <v>5.0</v>
      </c>
      <c r="N32" s="65">
        <v>5.0</v>
      </c>
      <c r="O32" s="62">
        <v>5.0</v>
      </c>
      <c r="P32" s="62">
        <v>5.0</v>
      </c>
      <c r="Q32" s="365">
        <f t="shared" si="4"/>
        <v>5</v>
      </c>
      <c r="R32" s="62">
        <v>6.0</v>
      </c>
      <c r="S32" s="62">
        <v>6.0</v>
      </c>
      <c r="T32" s="62">
        <v>5.0</v>
      </c>
      <c r="U32" s="62">
        <v>5.0</v>
      </c>
      <c r="V32" s="68">
        <f t="shared" si="14"/>
        <v>5.333333333</v>
      </c>
      <c r="W32" s="62">
        <v>6.0</v>
      </c>
      <c r="X32" s="62">
        <v>5.0</v>
      </c>
      <c r="Y32" s="62">
        <v>5.0</v>
      </c>
      <c r="Z32" s="69">
        <f t="shared" si="6"/>
        <v>5.333333333</v>
      </c>
      <c r="AA32" s="62">
        <v>6.0</v>
      </c>
      <c r="AB32" s="62">
        <v>6.0</v>
      </c>
      <c r="AC32" s="62">
        <v>5.0</v>
      </c>
      <c r="AD32" s="62">
        <v>5.0</v>
      </c>
      <c r="AE32" s="67">
        <f t="shared" si="20"/>
        <v>5.5</v>
      </c>
      <c r="AF32" s="91">
        <v>6.0</v>
      </c>
      <c r="AG32" s="64">
        <v>5.0</v>
      </c>
      <c r="AH32" s="64">
        <v>5.0</v>
      </c>
      <c r="AI32" s="64">
        <v>5.0</v>
      </c>
      <c r="AJ32" s="64">
        <v>5.0</v>
      </c>
      <c r="AK32" s="64">
        <v>5.0</v>
      </c>
      <c r="AL32" s="70">
        <f t="shared" si="13"/>
        <v>5</v>
      </c>
      <c r="AM32" s="365">
        <f>SUM(AK32:AL32)/2</f>
        <v>5</v>
      </c>
    </row>
    <row r="33" ht="15.75" customHeight="1">
      <c r="A33" s="74">
        <v>26.0</v>
      </c>
      <c r="B33" s="437" t="s">
        <v>495</v>
      </c>
      <c r="C33" s="62" t="s">
        <v>45</v>
      </c>
      <c r="D33" s="62">
        <v>6.0</v>
      </c>
      <c r="E33" s="62">
        <v>6.0</v>
      </c>
      <c r="F33" s="305">
        <f t="shared" si="2"/>
        <v>6</v>
      </c>
      <c r="G33" s="62">
        <v>6.0</v>
      </c>
      <c r="H33" s="62">
        <v>6.0</v>
      </c>
      <c r="I33" s="85">
        <f t="shared" si="19"/>
        <v>6</v>
      </c>
      <c r="J33" s="62">
        <v>6.0</v>
      </c>
      <c r="K33" s="62">
        <v>5.0</v>
      </c>
      <c r="L33" s="62">
        <v>6.0</v>
      </c>
      <c r="M33" s="65">
        <v>6.0</v>
      </c>
      <c r="N33" s="65">
        <v>6.0</v>
      </c>
      <c r="O33" s="62">
        <v>6.0</v>
      </c>
      <c r="P33" s="62">
        <v>6.0</v>
      </c>
      <c r="Q33" s="365">
        <f t="shared" si="4"/>
        <v>6</v>
      </c>
      <c r="R33" s="62">
        <v>6.0</v>
      </c>
      <c r="S33" s="62">
        <v>6.0</v>
      </c>
      <c r="T33" s="62">
        <v>6.0</v>
      </c>
      <c r="U33" s="62">
        <v>6.0</v>
      </c>
      <c r="V33" s="68">
        <f t="shared" si="14"/>
        <v>6</v>
      </c>
      <c r="W33" s="62">
        <v>6.0</v>
      </c>
      <c r="X33" s="62">
        <v>6.0</v>
      </c>
      <c r="Y33" s="62">
        <v>6.0</v>
      </c>
      <c r="Z33" s="69">
        <f t="shared" si="6"/>
        <v>6</v>
      </c>
      <c r="AA33" s="62">
        <v>6.0</v>
      </c>
      <c r="AB33" s="62">
        <v>6.0</v>
      </c>
      <c r="AC33" s="62">
        <v>6.0</v>
      </c>
      <c r="AD33" s="62">
        <v>6.0</v>
      </c>
      <c r="AE33" s="67">
        <f t="shared" si="20"/>
        <v>6</v>
      </c>
      <c r="AF33" s="64">
        <v>6.0</v>
      </c>
      <c r="AG33" s="64">
        <v>6.0</v>
      </c>
      <c r="AH33" s="64">
        <v>6.0</v>
      </c>
      <c r="AI33" s="64">
        <v>6.0</v>
      </c>
      <c r="AJ33" s="64">
        <v>6.0</v>
      </c>
      <c r="AK33" s="64">
        <v>5.0</v>
      </c>
      <c r="AL33" s="70">
        <f t="shared" si="13"/>
        <v>5.5</v>
      </c>
      <c r="AM33" s="365">
        <v>6.0</v>
      </c>
    </row>
    <row r="34" ht="15.75" customHeight="1">
      <c r="A34" s="74">
        <v>27.0</v>
      </c>
      <c r="B34" s="437" t="s">
        <v>496</v>
      </c>
      <c r="C34" s="62" t="s">
        <v>45</v>
      </c>
      <c r="D34" s="62">
        <v>6.0</v>
      </c>
      <c r="E34" s="62">
        <v>6.0</v>
      </c>
      <c r="F34" s="305">
        <f t="shared" si="2"/>
        <v>6</v>
      </c>
      <c r="G34" s="62">
        <v>6.0</v>
      </c>
      <c r="H34" s="62">
        <v>6.0</v>
      </c>
      <c r="I34" s="85">
        <f t="shared" si="19"/>
        <v>6</v>
      </c>
      <c r="J34" s="62">
        <v>6.0</v>
      </c>
      <c r="K34" s="62">
        <v>5.0</v>
      </c>
      <c r="L34" s="62">
        <v>6.0</v>
      </c>
      <c r="M34" s="65">
        <v>6.0</v>
      </c>
      <c r="N34" s="65">
        <v>6.0</v>
      </c>
      <c r="O34" s="62">
        <v>6.0</v>
      </c>
      <c r="P34" s="62">
        <v>6.0</v>
      </c>
      <c r="Q34" s="365">
        <f t="shared" si="4"/>
        <v>6</v>
      </c>
      <c r="R34" s="62">
        <v>6.0</v>
      </c>
      <c r="S34" s="62">
        <v>6.0</v>
      </c>
      <c r="T34" s="62">
        <v>6.0</v>
      </c>
      <c r="U34" s="62">
        <v>6.0</v>
      </c>
      <c r="V34" s="68">
        <f t="shared" si="14"/>
        <v>6</v>
      </c>
      <c r="W34" s="62">
        <v>6.0</v>
      </c>
      <c r="X34" s="62">
        <v>6.0</v>
      </c>
      <c r="Y34" s="62">
        <v>6.0</v>
      </c>
      <c r="Z34" s="69">
        <f t="shared" si="6"/>
        <v>6</v>
      </c>
      <c r="AA34" s="62">
        <v>6.0</v>
      </c>
      <c r="AB34" s="62">
        <v>6.0</v>
      </c>
      <c r="AC34" s="62">
        <v>6.0</v>
      </c>
      <c r="AD34" s="62">
        <v>6.0</v>
      </c>
      <c r="AE34" s="67">
        <f t="shared" si="20"/>
        <v>6</v>
      </c>
      <c r="AF34" s="64">
        <v>6.0</v>
      </c>
      <c r="AG34" s="64">
        <v>6.0</v>
      </c>
      <c r="AH34" s="64">
        <v>6.0</v>
      </c>
      <c r="AI34" s="64">
        <v>6.0</v>
      </c>
      <c r="AJ34" s="64">
        <v>6.0</v>
      </c>
      <c r="AK34" s="64">
        <v>5.0</v>
      </c>
      <c r="AL34" s="70">
        <f t="shared" si="13"/>
        <v>5.5</v>
      </c>
      <c r="AM34" s="365">
        <v>6.0</v>
      </c>
    </row>
    <row r="35" ht="15.75" customHeight="1">
      <c r="A35" s="74">
        <v>28.0</v>
      </c>
      <c r="B35" s="437" t="s">
        <v>497</v>
      </c>
      <c r="C35" s="62" t="s">
        <v>44</v>
      </c>
      <c r="D35" s="62">
        <v>5.0</v>
      </c>
      <c r="E35" s="62">
        <v>5.0</v>
      </c>
      <c r="F35" s="296">
        <f t="shared" si="2"/>
        <v>5</v>
      </c>
      <c r="G35" s="62">
        <v>5.0</v>
      </c>
      <c r="H35" s="62">
        <v>5.0</v>
      </c>
      <c r="I35" s="85">
        <f t="shared" si="19"/>
        <v>5</v>
      </c>
      <c r="J35" s="62">
        <v>5.0</v>
      </c>
      <c r="K35" s="62">
        <v>5.0</v>
      </c>
      <c r="L35" s="62">
        <v>5.0</v>
      </c>
      <c r="M35" s="65">
        <v>5.0</v>
      </c>
      <c r="N35" s="65">
        <v>5.0</v>
      </c>
      <c r="O35" s="62">
        <v>5.0</v>
      </c>
      <c r="P35" s="62">
        <v>5.0</v>
      </c>
      <c r="Q35" s="365">
        <f t="shared" si="4"/>
        <v>5</v>
      </c>
      <c r="R35" s="62">
        <v>6.0</v>
      </c>
      <c r="S35" s="62">
        <v>6.0</v>
      </c>
      <c r="T35" s="62">
        <v>5.0</v>
      </c>
      <c r="U35" s="62">
        <v>5.0</v>
      </c>
      <c r="V35" s="68">
        <f t="shared" si="14"/>
        <v>5.333333333</v>
      </c>
      <c r="W35" s="62">
        <v>6.0</v>
      </c>
      <c r="X35" s="62">
        <v>5.0</v>
      </c>
      <c r="Y35" s="62">
        <v>5.0</v>
      </c>
      <c r="Z35" s="69">
        <f t="shared" si="6"/>
        <v>5.333333333</v>
      </c>
      <c r="AA35" s="62">
        <v>6.0</v>
      </c>
      <c r="AB35" s="62">
        <v>6.0</v>
      </c>
      <c r="AC35" s="62">
        <v>5.0</v>
      </c>
      <c r="AD35" s="62">
        <v>5.0</v>
      </c>
      <c r="AE35" s="67">
        <f t="shared" si="20"/>
        <v>5.5</v>
      </c>
      <c r="AF35" s="91">
        <v>6.0</v>
      </c>
      <c r="AG35" s="64">
        <v>5.0</v>
      </c>
      <c r="AH35" s="64">
        <v>5.0</v>
      </c>
      <c r="AI35" s="64">
        <v>5.0</v>
      </c>
      <c r="AJ35" s="64">
        <v>5.0</v>
      </c>
      <c r="AK35" s="64">
        <v>5.0</v>
      </c>
      <c r="AL35" s="70">
        <f t="shared" si="13"/>
        <v>5</v>
      </c>
      <c r="AM35" s="365">
        <f t="shared" ref="AM35:AM43" si="22">SUM(AK35:AL35)/2</f>
        <v>5</v>
      </c>
    </row>
    <row r="36" ht="15.75" customHeight="1">
      <c r="A36" s="74">
        <v>29.0</v>
      </c>
      <c r="B36" s="437" t="s">
        <v>498</v>
      </c>
      <c r="C36" s="62" t="s">
        <v>45</v>
      </c>
      <c r="D36" s="62">
        <v>5.0</v>
      </c>
      <c r="E36" s="62">
        <v>5.0</v>
      </c>
      <c r="F36" s="296">
        <f t="shared" si="2"/>
        <v>5</v>
      </c>
      <c r="G36" s="62">
        <v>5.0</v>
      </c>
      <c r="H36" s="62">
        <v>5.0</v>
      </c>
      <c r="I36" s="85">
        <f t="shared" si="19"/>
        <v>5</v>
      </c>
      <c r="J36" s="62">
        <v>5.0</v>
      </c>
      <c r="K36" s="62">
        <v>5.0</v>
      </c>
      <c r="L36" s="62">
        <v>5.0</v>
      </c>
      <c r="M36" s="65">
        <v>5.0</v>
      </c>
      <c r="N36" s="65">
        <v>5.0</v>
      </c>
      <c r="O36" s="62">
        <v>5.0</v>
      </c>
      <c r="P36" s="62">
        <v>5.0</v>
      </c>
      <c r="Q36" s="365">
        <f t="shared" si="4"/>
        <v>5</v>
      </c>
      <c r="R36" s="62">
        <v>6.0</v>
      </c>
      <c r="S36" s="62">
        <v>6.0</v>
      </c>
      <c r="T36" s="62">
        <v>5.0</v>
      </c>
      <c r="U36" s="62">
        <v>5.0</v>
      </c>
      <c r="V36" s="68">
        <f t="shared" si="14"/>
        <v>5.333333333</v>
      </c>
      <c r="W36" s="62">
        <v>6.0</v>
      </c>
      <c r="X36" s="62">
        <v>5.0</v>
      </c>
      <c r="Y36" s="62">
        <v>5.0</v>
      </c>
      <c r="Z36" s="69">
        <f t="shared" si="6"/>
        <v>5.333333333</v>
      </c>
      <c r="AA36" s="62">
        <v>6.0</v>
      </c>
      <c r="AB36" s="62">
        <v>6.0</v>
      </c>
      <c r="AC36" s="62">
        <v>5.0</v>
      </c>
      <c r="AD36" s="62">
        <v>5.0</v>
      </c>
      <c r="AE36" s="67">
        <f t="shared" si="20"/>
        <v>5.5</v>
      </c>
      <c r="AF36" s="91">
        <v>6.0</v>
      </c>
      <c r="AG36" s="64">
        <v>5.0</v>
      </c>
      <c r="AH36" s="64">
        <v>5.0</v>
      </c>
      <c r="AI36" s="64">
        <v>5.0</v>
      </c>
      <c r="AJ36" s="64">
        <v>5.0</v>
      </c>
      <c r="AK36" s="64">
        <v>5.0</v>
      </c>
      <c r="AL36" s="70">
        <f t="shared" si="13"/>
        <v>5</v>
      </c>
      <c r="AM36" s="365">
        <f t="shared" si="22"/>
        <v>5</v>
      </c>
    </row>
    <row r="37" ht="15.75" customHeight="1">
      <c r="A37" s="74">
        <v>30.0</v>
      </c>
      <c r="B37" s="437" t="s">
        <v>499</v>
      </c>
      <c r="C37" s="62" t="s">
        <v>44</v>
      </c>
      <c r="D37" s="62">
        <v>4.0</v>
      </c>
      <c r="E37" s="62">
        <v>4.0</v>
      </c>
      <c r="F37" s="305">
        <f t="shared" si="2"/>
        <v>4</v>
      </c>
      <c r="G37" s="62">
        <v>3.0</v>
      </c>
      <c r="H37" s="62">
        <v>3.0</v>
      </c>
      <c r="I37" s="85">
        <f t="shared" si="19"/>
        <v>3</v>
      </c>
      <c r="J37" s="62">
        <v>5.0</v>
      </c>
      <c r="K37" s="62">
        <v>4.0</v>
      </c>
      <c r="L37" s="62">
        <v>4.0</v>
      </c>
      <c r="M37" s="65">
        <v>5.0</v>
      </c>
      <c r="N37" s="65">
        <v>5.0</v>
      </c>
      <c r="O37" s="62">
        <v>5.0</v>
      </c>
      <c r="P37" s="62">
        <v>5.0</v>
      </c>
      <c r="Q37" s="365">
        <f t="shared" si="4"/>
        <v>5</v>
      </c>
      <c r="R37" s="62">
        <v>4.0</v>
      </c>
      <c r="S37" s="62">
        <v>4.0</v>
      </c>
      <c r="T37" s="62">
        <v>4.0</v>
      </c>
      <c r="U37" s="62">
        <v>4.0</v>
      </c>
      <c r="V37" s="68">
        <f t="shared" si="14"/>
        <v>4</v>
      </c>
      <c r="W37" s="62">
        <v>4.0</v>
      </c>
      <c r="X37" s="62">
        <v>4.0</v>
      </c>
      <c r="Y37" s="62">
        <v>4.0</v>
      </c>
      <c r="Z37" s="69">
        <f t="shared" si="6"/>
        <v>4</v>
      </c>
      <c r="AA37" s="62">
        <v>4.0</v>
      </c>
      <c r="AB37" s="62">
        <v>4.0</v>
      </c>
      <c r="AC37" s="62">
        <v>4.0</v>
      </c>
      <c r="AD37" s="62">
        <v>4.0</v>
      </c>
      <c r="AE37" s="67">
        <f t="shared" si="20"/>
        <v>4</v>
      </c>
      <c r="AF37" s="64">
        <v>4.0</v>
      </c>
      <c r="AG37" s="64">
        <v>4.0</v>
      </c>
      <c r="AH37" s="64">
        <v>4.0</v>
      </c>
      <c r="AI37" s="64">
        <v>4.0</v>
      </c>
      <c r="AJ37" s="64">
        <v>4.0</v>
      </c>
      <c r="AK37" s="64">
        <v>4.0</v>
      </c>
      <c r="AL37" s="70">
        <f t="shared" si="13"/>
        <v>4</v>
      </c>
      <c r="AM37" s="365">
        <f t="shared" si="22"/>
        <v>4</v>
      </c>
    </row>
    <row r="38" ht="15.75" customHeight="1">
      <c r="A38" s="74">
        <v>31.0</v>
      </c>
      <c r="B38" s="440" t="s">
        <v>500</v>
      </c>
      <c r="C38" s="62" t="s">
        <v>45</v>
      </c>
      <c r="D38" s="62">
        <v>4.0</v>
      </c>
      <c r="E38" s="62">
        <v>4.0</v>
      </c>
      <c r="F38" s="305">
        <f t="shared" si="2"/>
        <v>4</v>
      </c>
      <c r="G38" s="62">
        <v>3.0</v>
      </c>
      <c r="H38" s="62">
        <v>3.0</v>
      </c>
      <c r="I38" s="85">
        <f t="shared" si="19"/>
        <v>3</v>
      </c>
      <c r="J38" s="62">
        <v>5.0</v>
      </c>
      <c r="K38" s="62">
        <v>4.0</v>
      </c>
      <c r="L38" s="62">
        <v>4.0</v>
      </c>
      <c r="M38" s="65">
        <v>5.0</v>
      </c>
      <c r="N38" s="65">
        <v>5.0</v>
      </c>
      <c r="O38" s="62">
        <v>5.0</v>
      </c>
      <c r="P38" s="62">
        <v>5.0</v>
      </c>
      <c r="Q38" s="365">
        <f t="shared" si="4"/>
        <v>5</v>
      </c>
      <c r="R38" s="62">
        <v>4.0</v>
      </c>
      <c r="S38" s="62">
        <v>4.0</v>
      </c>
      <c r="T38" s="62">
        <v>4.0</v>
      </c>
      <c r="U38" s="62">
        <v>4.0</v>
      </c>
      <c r="V38" s="68">
        <f t="shared" si="14"/>
        <v>4</v>
      </c>
      <c r="W38" s="62">
        <v>4.0</v>
      </c>
      <c r="X38" s="62">
        <v>4.0</v>
      </c>
      <c r="Y38" s="62">
        <v>4.0</v>
      </c>
      <c r="Z38" s="69">
        <f t="shared" si="6"/>
        <v>4</v>
      </c>
      <c r="AA38" s="62">
        <v>4.0</v>
      </c>
      <c r="AB38" s="62">
        <v>4.0</v>
      </c>
      <c r="AC38" s="62">
        <v>4.0</v>
      </c>
      <c r="AD38" s="62">
        <v>4.0</v>
      </c>
      <c r="AE38" s="67">
        <f t="shared" si="20"/>
        <v>4</v>
      </c>
      <c r="AF38" s="64">
        <v>4.0</v>
      </c>
      <c r="AG38" s="64">
        <v>4.0</v>
      </c>
      <c r="AH38" s="64">
        <v>4.0</v>
      </c>
      <c r="AI38" s="64">
        <v>4.0</v>
      </c>
      <c r="AJ38" s="64">
        <v>4.0</v>
      </c>
      <c r="AK38" s="64">
        <v>4.0</v>
      </c>
      <c r="AL38" s="70">
        <f t="shared" si="13"/>
        <v>4</v>
      </c>
      <c r="AM38" s="365">
        <f t="shared" si="22"/>
        <v>4</v>
      </c>
    </row>
    <row r="39" ht="15.75" customHeight="1">
      <c r="A39" s="74">
        <v>32.0</v>
      </c>
      <c r="B39" s="440" t="s">
        <v>501</v>
      </c>
      <c r="C39" s="62" t="s">
        <v>45</v>
      </c>
      <c r="D39" s="62">
        <v>5.0</v>
      </c>
      <c r="E39" s="62">
        <v>5.0</v>
      </c>
      <c r="F39" s="305">
        <f t="shared" si="2"/>
        <v>5</v>
      </c>
      <c r="G39" s="65">
        <v>5.0</v>
      </c>
      <c r="H39" s="65">
        <v>5.0</v>
      </c>
      <c r="I39" s="85">
        <f t="shared" si="19"/>
        <v>5</v>
      </c>
      <c r="J39" s="65">
        <v>5.0</v>
      </c>
      <c r="K39" s="65">
        <v>5.0</v>
      </c>
      <c r="L39" s="65">
        <v>5.0</v>
      </c>
      <c r="M39" s="65">
        <v>5.0</v>
      </c>
      <c r="N39" s="65">
        <v>5.0</v>
      </c>
      <c r="O39" s="65">
        <v>5.0</v>
      </c>
      <c r="P39" s="65">
        <v>5.0</v>
      </c>
      <c r="Q39" s="365">
        <f t="shared" si="4"/>
        <v>5</v>
      </c>
      <c r="R39" s="65">
        <v>5.0</v>
      </c>
      <c r="S39" s="65">
        <v>5.0</v>
      </c>
      <c r="T39" s="65">
        <v>5.0</v>
      </c>
      <c r="U39" s="65">
        <v>5.0</v>
      </c>
      <c r="V39" s="68">
        <f t="shared" si="14"/>
        <v>5</v>
      </c>
      <c r="W39" s="65">
        <v>5.0</v>
      </c>
      <c r="X39" s="65">
        <v>5.0</v>
      </c>
      <c r="Y39" s="65">
        <v>5.0</v>
      </c>
      <c r="Z39" s="69">
        <f t="shared" si="6"/>
        <v>5</v>
      </c>
      <c r="AA39" s="65">
        <v>5.0</v>
      </c>
      <c r="AB39" s="65">
        <v>5.0</v>
      </c>
      <c r="AC39" s="65">
        <v>5.0</v>
      </c>
      <c r="AD39" s="65">
        <v>5.0</v>
      </c>
      <c r="AE39" s="67">
        <v>5.0</v>
      </c>
      <c r="AF39" s="65">
        <v>5.0</v>
      </c>
      <c r="AG39" s="65">
        <v>5.0</v>
      </c>
      <c r="AH39" s="65">
        <v>5.0</v>
      </c>
      <c r="AI39" s="65">
        <v>5.0</v>
      </c>
      <c r="AJ39" s="65">
        <v>5.0</v>
      </c>
      <c r="AK39" s="65">
        <v>5.0</v>
      </c>
      <c r="AL39" s="70">
        <f t="shared" si="13"/>
        <v>5</v>
      </c>
      <c r="AM39" s="365">
        <f t="shared" si="22"/>
        <v>5</v>
      </c>
    </row>
    <row r="40" ht="15.75" customHeight="1">
      <c r="A40" s="74">
        <v>33.0</v>
      </c>
      <c r="B40" s="440" t="s">
        <v>502</v>
      </c>
      <c r="C40" s="62" t="s">
        <v>44</v>
      </c>
      <c r="D40" s="62">
        <v>5.0</v>
      </c>
      <c r="E40" s="62">
        <v>5.0</v>
      </c>
      <c r="F40" s="296">
        <f t="shared" si="2"/>
        <v>5</v>
      </c>
      <c r="G40" s="62">
        <v>5.0</v>
      </c>
      <c r="H40" s="62">
        <v>5.0</v>
      </c>
      <c r="I40" s="85">
        <f t="shared" si="19"/>
        <v>5</v>
      </c>
      <c r="J40" s="62">
        <v>5.0</v>
      </c>
      <c r="K40" s="62">
        <v>5.0</v>
      </c>
      <c r="L40" s="62">
        <v>5.0</v>
      </c>
      <c r="M40" s="65">
        <v>5.0</v>
      </c>
      <c r="N40" s="65">
        <v>5.0</v>
      </c>
      <c r="O40" s="62">
        <v>5.0</v>
      </c>
      <c r="P40" s="62">
        <v>5.0</v>
      </c>
      <c r="Q40" s="365">
        <f t="shared" si="4"/>
        <v>5</v>
      </c>
      <c r="R40" s="62">
        <v>6.0</v>
      </c>
      <c r="S40" s="62">
        <v>6.0</v>
      </c>
      <c r="T40" s="62">
        <v>5.0</v>
      </c>
      <c r="U40" s="62">
        <v>5.0</v>
      </c>
      <c r="V40" s="68">
        <f t="shared" si="14"/>
        <v>5.333333333</v>
      </c>
      <c r="W40" s="62">
        <v>6.0</v>
      </c>
      <c r="X40" s="62">
        <v>5.0</v>
      </c>
      <c r="Y40" s="62">
        <v>5.0</v>
      </c>
      <c r="Z40" s="69">
        <f t="shared" si="6"/>
        <v>5.333333333</v>
      </c>
      <c r="AA40" s="62">
        <v>6.0</v>
      </c>
      <c r="AB40" s="62">
        <v>6.0</v>
      </c>
      <c r="AC40" s="62">
        <v>5.0</v>
      </c>
      <c r="AD40" s="62">
        <v>5.0</v>
      </c>
      <c r="AE40" s="67">
        <f t="shared" ref="AE40:AE43" si="23">SUM(AA40:AD40)/4</f>
        <v>5.5</v>
      </c>
      <c r="AF40" s="91">
        <v>6.0</v>
      </c>
      <c r="AG40" s="64">
        <v>5.0</v>
      </c>
      <c r="AH40" s="64">
        <v>5.0</v>
      </c>
      <c r="AI40" s="64">
        <v>5.0</v>
      </c>
      <c r="AJ40" s="64">
        <v>5.0</v>
      </c>
      <c r="AK40" s="64">
        <v>5.0</v>
      </c>
      <c r="AL40" s="70">
        <f t="shared" si="13"/>
        <v>5</v>
      </c>
      <c r="AM40" s="365">
        <f t="shared" si="22"/>
        <v>5</v>
      </c>
    </row>
    <row r="41" ht="15.75" customHeight="1">
      <c r="A41" s="74">
        <v>34.0</v>
      </c>
      <c r="B41" s="440" t="s">
        <v>503</v>
      </c>
      <c r="C41" s="62" t="s">
        <v>44</v>
      </c>
      <c r="D41" s="62">
        <v>4.0</v>
      </c>
      <c r="E41" s="62">
        <v>4.0</v>
      </c>
      <c r="F41" s="305">
        <f t="shared" si="2"/>
        <v>4</v>
      </c>
      <c r="G41" s="62">
        <v>3.0</v>
      </c>
      <c r="H41" s="62">
        <v>3.0</v>
      </c>
      <c r="I41" s="85">
        <f t="shared" si="19"/>
        <v>3</v>
      </c>
      <c r="J41" s="62">
        <v>5.0</v>
      </c>
      <c r="K41" s="62">
        <v>4.0</v>
      </c>
      <c r="L41" s="62">
        <v>4.0</v>
      </c>
      <c r="M41" s="65">
        <v>5.0</v>
      </c>
      <c r="N41" s="65">
        <v>5.0</v>
      </c>
      <c r="O41" s="62">
        <v>5.0</v>
      </c>
      <c r="P41" s="62">
        <v>5.0</v>
      </c>
      <c r="Q41" s="365">
        <f t="shared" si="4"/>
        <v>5</v>
      </c>
      <c r="R41" s="62">
        <v>4.0</v>
      </c>
      <c r="S41" s="62">
        <v>4.0</v>
      </c>
      <c r="T41" s="62">
        <v>4.0</v>
      </c>
      <c r="U41" s="62">
        <v>4.0</v>
      </c>
      <c r="V41" s="68">
        <f t="shared" si="14"/>
        <v>4</v>
      </c>
      <c r="W41" s="62">
        <v>4.0</v>
      </c>
      <c r="X41" s="62">
        <v>4.0</v>
      </c>
      <c r="Y41" s="62">
        <v>4.0</v>
      </c>
      <c r="Z41" s="69">
        <f t="shared" si="6"/>
        <v>4</v>
      </c>
      <c r="AA41" s="62">
        <v>4.0</v>
      </c>
      <c r="AB41" s="62">
        <v>4.0</v>
      </c>
      <c r="AC41" s="62">
        <v>4.0</v>
      </c>
      <c r="AD41" s="62">
        <v>4.0</v>
      </c>
      <c r="AE41" s="67">
        <f t="shared" si="23"/>
        <v>4</v>
      </c>
      <c r="AF41" s="64">
        <v>4.0</v>
      </c>
      <c r="AG41" s="64">
        <v>4.0</v>
      </c>
      <c r="AH41" s="64">
        <v>4.0</v>
      </c>
      <c r="AI41" s="64">
        <v>4.0</v>
      </c>
      <c r="AJ41" s="64">
        <v>4.0</v>
      </c>
      <c r="AK41" s="64">
        <v>4.0</v>
      </c>
      <c r="AL41" s="70">
        <f t="shared" si="13"/>
        <v>4</v>
      </c>
      <c r="AM41" s="365">
        <f t="shared" si="22"/>
        <v>4</v>
      </c>
    </row>
    <row r="42" ht="15.75" customHeight="1">
      <c r="A42" s="74">
        <v>35.0</v>
      </c>
      <c r="B42" s="75" t="s">
        <v>504</v>
      </c>
      <c r="C42" s="65" t="s">
        <v>44</v>
      </c>
      <c r="D42" s="62">
        <v>4.0</v>
      </c>
      <c r="E42" s="62">
        <v>4.0</v>
      </c>
      <c r="F42" s="305">
        <f t="shared" si="2"/>
        <v>4</v>
      </c>
      <c r="G42" s="62">
        <v>3.0</v>
      </c>
      <c r="H42" s="62">
        <v>3.0</v>
      </c>
      <c r="I42" s="85">
        <f t="shared" si="19"/>
        <v>3</v>
      </c>
      <c r="J42" s="62">
        <v>5.0</v>
      </c>
      <c r="K42" s="62">
        <v>4.0</v>
      </c>
      <c r="L42" s="62">
        <v>4.0</v>
      </c>
      <c r="M42" s="65">
        <v>5.0</v>
      </c>
      <c r="N42" s="65">
        <v>5.0</v>
      </c>
      <c r="O42" s="62">
        <v>5.0</v>
      </c>
      <c r="P42" s="62">
        <v>5.0</v>
      </c>
      <c r="Q42" s="365">
        <f t="shared" si="4"/>
        <v>5</v>
      </c>
      <c r="R42" s="62">
        <v>4.0</v>
      </c>
      <c r="S42" s="62">
        <v>4.0</v>
      </c>
      <c r="T42" s="62">
        <v>4.0</v>
      </c>
      <c r="U42" s="62">
        <v>4.0</v>
      </c>
      <c r="V42" s="68">
        <f t="shared" si="14"/>
        <v>4</v>
      </c>
      <c r="W42" s="62">
        <v>4.0</v>
      </c>
      <c r="X42" s="62">
        <v>4.0</v>
      </c>
      <c r="Y42" s="62">
        <v>4.0</v>
      </c>
      <c r="Z42" s="69">
        <f t="shared" si="6"/>
        <v>4</v>
      </c>
      <c r="AA42" s="62">
        <v>4.0</v>
      </c>
      <c r="AB42" s="62">
        <v>4.0</v>
      </c>
      <c r="AC42" s="62">
        <v>4.0</v>
      </c>
      <c r="AD42" s="62">
        <v>4.0</v>
      </c>
      <c r="AE42" s="67">
        <f t="shared" si="23"/>
        <v>4</v>
      </c>
      <c r="AF42" s="64">
        <v>4.0</v>
      </c>
      <c r="AG42" s="64">
        <v>4.0</v>
      </c>
      <c r="AH42" s="64">
        <v>4.0</v>
      </c>
      <c r="AI42" s="64">
        <v>4.0</v>
      </c>
      <c r="AJ42" s="64">
        <v>4.0</v>
      </c>
      <c r="AK42" s="64">
        <v>4.0</v>
      </c>
      <c r="AL42" s="70">
        <f t="shared" si="13"/>
        <v>4</v>
      </c>
      <c r="AM42" s="365">
        <f t="shared" si="22"/>
        <v>4</v>
      </c>
    </row>
    <row r="43" ht="15.75" customHeight="1">
      <c r="A43" s="74">
        <v>36.0</v>
      </c>
      <c r="B43" s="75" t="s">
        <v>505</v>
      </c>
      <c r="C43" s="65" t="s">
        <v>44</v>
      </c>
      <c r="D43" s="62">
        <v>4.0</v>
      </c>
      <c r="E43" s="62">
        <v>4.0</v>
      </c>
      <c r="F43" s="305">
        <f t="shared" si="2"/>
        <v>4</v>
      </c>
      <c r="G43" s="62">
        <v>3.0</v>
      </c>
      <c r="H43" s="62">
        <v>3.0</v>
      </c>
      <c r="I43" s="85">
        <f t="shared" si="19"/>
        <v>3</v>
      </c>
      <c r="J43" s="62">
        <v>5.0</v>
      </c>
      <c r="K43" s="62">
        <v>4.0</v>
      </c>
      <c r="L43" s="62">
        <v>4.0</v>
      </c>
      <c r="M43" s="65">
        <v>5.0</v>
      </c>
      <c r="N43" s="65">
        <v>5.0</v>
      </c>
      <c r="O43" s="62">
        <v>5.0</v>
      </c>
      <c r="P43" s="62">
        <v>5.0</v>
      </c>
      <c r="Q43" s="365">
        <f t="shared" si="4"/>
        <v>5</v>
      </c>
      <c r="R43" s="62">
        <v>4.0</v>
      </c>
      <c r="S43" s="62">
        <v>4.0</v>
      </c>
      <c r="T43" s="62">
        <v>4.0</v>
      </c>
      <c r="U43" s="62">
        <v>4.0</v>
      </c>
      <c r="V43" s="68">
        <f t="shared" si="14"/>
        <v>4</v>
      </c>
      <c r="W43" s="62">
        <v>4.0</v>
      </c>
      <c r="X43" s="62">
        <v>4.0</v>
      </c>
      <c r="Y43" s="62">
        <v>4.0</v>
      </c>
      <c r="Z43" s="69">
        <f t="shared" si="6"/>
        <v>4</v>
      </c>
      <c r="AA43" s="62">
        <v>4.0</v>
      </c>
      <c r="AB43" s="62">
        <v>4.0</v>
      </c>
      <c r="AC43" s="62">
        <v>4.0</v>
      </c>
      <c r="AD43" s="62">
        <v>4.0</v>
      </c>
      <c r="AE43" s="67">
        <f t="shared" si="23"/>
        <v>4</v>
      </c>
      <c r="AF43" s="64">
        <v>4.0</v>
      </c>
      <c r="AG43" s="64">
        <v>4.0</v>
      </c>
      <c r="AH43" s="64">
        <v>4.0</v>
      </c>
      <c r="AI43" s="64">
        <v>4.0</v>
      </c>
      <c r="AJ43" s="64">
        <v>4.0</v>
      </c>
      <c r="AK43" s="64">
        <v>4.0</v>
      </c>
      <c r="AL43" s="70">
        <f t="shared" si="13"/>
        <v>4</v>
      </c>
      <c r="AM43" s="365">
        <f t="shared" si="22"/>
        <v>4</v>
      </c>
    </row>
    <row r="44" ht="15.75" customHeight="1">
      <c r="A44" s="74">
        <v>37.0</v>
      </c>
      <c r="B44" s="75" t="s">
        <v>506</v>
      </c>
      <c r="C44" s="65" t="s">
        <v>45</v>
      </c>
      <c r="D44" s="62">
        <v>5.0</v>
      </c>
      <c r="E44" s="62">
        <v>5.0</v>
      </c>
      <c r="F44" s="305">
        <f t="shared" si="2"/>
        <v>5</v>
      </c>
      <c r="G44" s="65">
        <v>5.0</v>
      </c>
      <c r="H44" s="65">
        <v>5.0</v>
      </c>
      <c r="I44" s="85">
        <f t="shared" si="19"/>
        <v>5</v>
      </c>
      <c r="J44" s="65">
        <v>5.0</v>
      </c>
      <c r="K44" s="65">
        <v>5.0</v>
      </c>
      <c r="L44" s="65">
        <v>5.0</v>
      </c>
      <c r="M44" s="65">
        <v>5.0</v>
      </c>
      <c r="N44" s="65">
        <v>5.0</v>
      </c>
      <c r="O44" s="65">
        <v>5.0</v>
      </c>
      <c r="P44" s="65">
        <v>5.0</v>
      </c>
      <c r="Q44" s="365">
        <f t="shared" si="4"/>
        <v>5</v>
      </c>
      <c r="R44" s="65">
        <v>5.0</v>
      </c>
      <c r="S44" s="65">
        <v>5.0</v>
      </c>
      <c r="T44" s="65">
        <v>5.0</v>
      </c>
      <c r="U44" s="65">
        <v>5.0</v>
      </c>
      <c r="V44" s="68">
        <f t="shared" si="14"/>
        <v>5</v>
      </c>
      <c r="W44" s="65">
        <v>5.0</v>
      </c>
      <c r="X44" s="65">
        <v>5.0</v>
      </c>
      <c r="Y44" s="65">
        <v>5.0</v>
      </c>
      <c r="Z44" s="69">
        <f t="shared" si="6"/>
        <v>5</v>
      </c>
      <c r="AA44" s="65">
        <v>5.0</v>
      </c>
      <c r="AB44" s="65">
        <v>5.0</v>
      </c>
      <c r="AC44" s="65">
        <v>5.0</v>
      </c>
      <c r="AD44" s="65">
        <v>5.0</v>
      </c>
      <c r="AE44" s="67">
        <v>5.0</v>
      </c>
      <c r="AF44" s="65">
        <v>5.0</v>
      </c>
      <c r="AG44" s="65">
        <v>5.0</v>
      </c>
      <c r="AH44" s="65">
        <v>5.0</v>
      </c>
      <c r="AI44" s="65">
        <v>5.0</v>
      </c>
      <c r="AJ44" s="65">
        <v>5.0</v>
      </c>
      <c r="AK44" s="65">
        <v>4.0</v>
      </c>
      <c r="AL44" s="70">
        <f t="shared" si="13"/>
        <v>4.5</v>
      </c>
      <c r="AM44" s="365">
        <v>5.0</v>
      </c>
    </row>
    <row r="45" ht="15.75" customHeight="1">
      <c r="A45" s="84">
        <v>38.0</v>
      </c>
      <c r="B45" s="163"/>
      <c r="C45" s="163"/>
      <c r="D45" s="441"/>
      <c r="E45" s="163"/>
      <c r="F45" s="372">
        <f t="shared" si="2"/>
        <v>0</v>
      </c>
      <c r="G45" s="163"/>
      <c r="H45" s="163"/>
      <c r="I45" s="373">
        <f t="shared" si="19"/>
        <v>0</v>
      </c>
      <c r="J45" s="163"/>
      <c r="K45" s="163"/>
      <c r="L45" s="163"/>
      <c r="M45" s="441"/>
      <c r="N45" s="164"/>
      <c r="O45" s="164"/>
      <c r="P45" s="163"/>
      <c r="Q45" s="374">
        <f t="shared" si="4"/>
        <v>0</v>
      </c>
      <c r="R45" s="441"/>
      <c r="S45" s="163"/>
      <c r="T45" s="164"/>
      <c r="U45" s="163"/>
      <c r="V45" s="166">
        <f t="shared" si="14"/>
        <v>0</v>
      </c>
      <c r="W45" s="163"/>
      <c r="X45" s="164"/>
      <c r="Y45" s="163"/>
      <c r="Z45" s="167">
        <f t="shared" si="6"/>
        <v>0</v>
      </c>
      <c r="AA45" s="163"/>
      <c r="AB45" s="164"/>
      <c r="AC45" s="163"/>
      <c r="AD45" s="163"/>
      <c r="AE45" s="377">
        <f>SUM(AA45:AD45)/4</f>
        <v>0</v>
      </c>
      <c r="AF45" s="441"/>
      <c r="AG45" s="164"/>
      <c r="AH45" s="163"/>
      <c r="AI45" s="163"/>
      <c r="AJ45" s="163"/>
      <c r="AK45" s="163"/>
      <c r="AL45" s="168">
        <f t="shared" si="13"/>
        <v>0</v>
      </c>
      <c r="AM45" s="374">
        <f>SUM(AK45:AL45)/2</f>
        <v>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6:B7"/>
    <mergeCell ref="C6:C7"/>
    <mergeCell ref="D6:F6"/>
    <mergeCell ref="G6:I6"/>
    <mergeCell ref="M6:Q6"/>
    <mergeCell ref="R6:V6"/>
    <mergeCell ref="W6:Z6"/>
    <mergeCell ref="AA6:AE6"/>
    <mergeCell ref="AF6:AL6"/>
    <mergeCell ref="AM6:AM7"/>
    <mergeCell ref="A1:AM1"/>
    <mergeCell ref="C3:P3"/>
    <mergeCell ref="Q3:U3"/>
    <mergeCell ref="V3:AE3"/>
    <mergeCell ref="C4:P4"/>
    <mergeCell ref="V4:AL4"/>
    <mergeCell ref="A6:A7"/>
  </mergeCells>
  <printOptions/>
  <pageMargins bottom="0.75" footer="0.0" header="0.0" left="0.7" right="0.7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36.67"/>
    <col customWidth="1" min="3" max="3" width="4.11"/>
    <col customWidth="1" min="4" max="5" width="4.0"/>
    <col customWidth="1" min="6" max="6" width="4.11"/>
    <col customWidth="1" min="7" max="7" width="4.33"/>
    <col customWidth="1" min="8" max="8" width="4.11"/>
    <col customWidth="1" min="9" max="9" width="4.0"/>
    <col customWidth="1" min="10" max="10" width="4.11"/>
    <col customWidth="1" min="11" max="11" width="4.33"/>
    <col customWidth="1" min="12" max="13" width="4.0"/>
    <col customWidth="1" min="14" max="14" width="4.33"/>
    <col customWidth="1" min="15" max="16" width="3.78"/>
    <col customWidth="1" min="17" max="18" width="4.0"/>
    <col customWidth="1" min="19" max="19" width="3.67"/>
    <col customWidth="1" min="20" max="20" width="4.33"/>
    <col customWidth="1" min="21" max="21" width="4.0"/>
    <col customWidth="1" min="22" max="22" width="4.11"/>
    <col customWidth="1" min="23" max="23" width="3.78"/>
    <col customWidth="1" min="24" max="24" width="4.11"/>
    <col customWidth="1" min="25" max="27" width="4.0"/>
    <col customWidth="1" min="28" max="28" width="4.11"/>
    <col customWidth="1" min="29" max="30" width="4.0"/>
    <col customWidth="1" min="31" max="32" width="3.78"/>
    <col customWidth="1" min="33" max="33" width="4.11"/>
    <col customWidth="1" min="34" max="34" width="4.0"/>
    <col customWidth="1" min="35" max="36" width="4.44"/>
    <col customWidth="1" min="37" max="37" width="4.33"/>
    <col customWidth="1" min="38" max="38" width="4.67"/>
    <col customWidth="1" min="39" max="39" width="5.33"/>
  </cols>
  <sheetData>
    <row r="1" ht="24.0" customHeight="1">
      <c r="A1" s="442" t="s">
        <v>442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4"/>
    </row>
    <row r="2" ht="15.75" customHeight="1">
      <c r="A2" s="44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M2" s="446"/>
    </row>
    <row r="3" ht="23.25" customHeight="1">
      <c r="A3" s="447"/>
      <c r="B3" s="9" t="s">
        <v>1</v>
      </c>
      <c r="C3" s="10" t="s">
        <v>2</v>
      </c>
      <c r="Q3" s="9" t="s">
        <v>310</v>
      </c>
      <c r="V3" s="11" t="s">
        <v>507</v>
      </c>
      <c r="AM3" s="446"/>
    </row>
    <row r="4" ht="23.25" customHeight="1">
      <c r="A4" s="448"/>
      <c r="B4" s="449" t="s">
        <v>5</v>
      </c>
      <c r="C4" s="450" t="s">
        <v>6</v>
      </c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49" t="s">
        <v>312</v>
      </c>
      <c r="R4" s="449"/>
      <c r="S4" s="449"/>
      <c r="T4" s="449"/>
      <c r="U4" s="449"/>
      <c r="V4" s="449" t="s">
        <v>508</v>
      </c>
      <c r="W4" s="451"/>
      <c r="X4" s="451"/>
      <c r="Y4" s="451"/>
      <c r="Z4" s="451"/>
      <c r="AA4" s="451"/>
      <c r="AB4" s="451"/>
      <c r="AC4" s="451"/>
      <c r="AD4" s="451"/>
      <c r="AE4" s="451"/>
      <c r="AF4" s="452"/>
      <c r="AG4" s="452"/>
      <c r="AH4" s="453"/>
      <c r="AI4" s="453"/>
      <c r="AJ4" s="453"/>
      <c r="AK4" s="453"/>
      <c r="AL4" s="453"/>
      <c r="AM4" s="454"/>
    </row>
    <row r="5" ht="15.75" customHeight="1">
      <c r="A5" s="19"/>
      <c r="B5" s="19"/>
      <c r="C5" s="19"/>
      <c r="AM5" s="259"/>
    </row>
    <row r="6" ht="15.75" customHeight="1">
      <c r="A6" s="176" t="s">
        <v>9</v>
      </c>
      <c r="B6" s="176" t="s">
        <v>10</v>
      </c>
      <c r="C6" s="412" t="s">
        <v>11</v>
      </c>
      <c r="D6" s="22" t="s">
        <v>12</v>
      </c>
      <c r="E6" s="23"/>
      <c r="F6" s="24"/>
      <c r="G6" s="330" t="s">
        <v>53</v>
      </c>
      <c r="H6" s="23"/>
      <c r="I6" s="24"/>
      <c r="J6" s="331" t="s">
        <v>131</v>
      </c>
      <c r="K6" s="413" t="s">
        <v>132</v>
      </c>
      <c r="L6" s="414" t="s">
        <v>133</v>
      </c>
      <c r="M6" s="415" t="s">
        <v>14</v>
      </c>
      <c r="N6" s="23"/>
      <c r="O6" s="23"/>
      <c r="P6" s="23"/>
      <c r="Q6" s="24"/>
      <c r="R6" s="26" t="s">
        <v>15</v>
      </c>
      <c r="S6" s="23"/>
      <c r="T6" s="23"/>
      <c r="U6" s="23"/>
      <c r="V6" s="24"/>
      <c r="W6" s="27" t="s">
        <v>16</v>
      </c>
      <c r="X6" s="23"/>
      <c r="Y6" s="23"/>
      <c r="Z6" s="24"/>
      <c r="AA6" s="25" t="s">
        <v>17</v>
      </c>
      <c r="AB6" s="23"/>
      <c r="AC6" s="23"/>
      <c r="AD6" s="23"/>
      <c r="AE6" s="24"/>
      <c r="AF6" s="28" t="s">
        <v>18</v>
      </c>
      <c r="AG6" s="23"/>
      <c r="AH6" s="23"/>
      <c r="AI6" s="23"/>
      <c r="AJ6" s="23"/>
      <c r="AK6" s="23"/>
      <c r="AL6" s="24"/>
      <c r="AM6" s="416" t="s">
        <v>19</v>
      </c>
    </row>
    <row r="7" ht="60.0" customHeight="1">
      <c r="A7" s="188"/>
      <c r="B7" s="188"/>
      <c r="C7" s="417"/>
      <c r="D7" s="217" t="s">
        <v>445</v>
      </c>
      <c r="E7" s="218" t="s">
        <v>446</v>
      </c>
      <c r="F7" s="219" t="s">
        <v>20</v>
      </c>
      <c r="G7" s="338" t="s">
        <v>445</v>
      </c>
      <c r="H7" s="339" t="s">
        <v>446</v>
      </c>
      <c r="I7" s="340" t="s">
        <v>20</v>
      </c>
      <c r="J7" s="341" t="s">
        <v>447</v>
      </c>
      <c r="K7" s="418" t="s">
        <v>448</v>
      </c>
      <c r="L7" s="419" t="s">
        <v>449</v>
      </c>
      <c r="M7" s="420" t="s">
        <v>450</v>
      </c>
      <c r="N7" s="421" t="s">
        <v>451</v>
      </c>
      <c r="O7" s="421" t="s">
        <v>452</v>
      </c>
      <c r="P7" s="421" t="s">
        <v>453</v>
      </c>
      <c r="Q7" s="422" t="s">
        <v>20</v>
      </c>
      <c r="R7" s="349" t="s">
        <v>454</v>
      </c>
      <c r="S7" s="350" t="s">
        <v>455</v>
      </c>
      <c r="T7" s="350" t="s">
        <v>456</v>
      </c>
      <c r="U7" s="350" t="s">
        <v>457</v>
      </c>
      <c r="V7" s="352" t="s">
        <v>20</v>
      </c>
      <c r="W7" s="423" t="s">
        <v>458</v>
      </c>
      <c r="X7" s="424" t="s">
        <v>459</v>
      </c>
      <c r="Y7" s="424" t="s">
        <v>460</v>
      </c>
      <c r="Z7" s="425" t="s">
        <v>20</v>
      </c>
      <c r="AA7" s="238" t="s">
        <v>461</v>
      </c>
      <c r="AB7" s="239" t="s">
        <v>462</v>
      </c>
      <c r="AC7" s="239" t="s">
        <v>463</v>
      </c>
      <c r="AD7" s="239" t="s">
        <v>464</v>
      </c>
      <c r="AE7" s="240" t="s">
        <v>20</v>
      </c>
      <c r="AF7" s="455" t="s">
        <v>465</v>
      </c>
      <c r="AG7" s="427" t="s">
        <v>466</v>
      </c>
      <c r="AH7" s="428" t="s">
        <v>467</v>
      </c>
      <c r="AI7" s="428" t="s">
        <v>468</v>
      </c>
      <c r="AJ7" s="428" t="s">
        <v>330</v>
      </c>
      <c r="AK7" s="428" t="s">
        <v>469</v>
      </c>
      <c r="AL7" s="358" t="s">
        <v>20</v>
      </c>
      <c r="AM7" s="429"/>
    </row>
    <row r="8" ht="15.75" customHeight="1">
      <c r="A8" s="59">
        <v>1.0</v>
      </c>
      <c r="B8" s="241" t="s">
        <v>509</v>
      </c>
      <c r="C8" s="61" t="s">
        <v>44</v>
      </c>
      <c r="D8" s="119">
        <v>4.0</v>
      </c>
      <c r="E8" s="119">
        <v>4.0</v>
      </c>
      <c r="F8" s="359">
        <f t="shared" ref="F8:F13" si="1">SUM(D8:E8)/2</f>
        <v>4</v>
      </c>
      <c r="G8" s="119">
        <v>4.0</v>
      </c>
      <c r="H8" s="119">
        <v>4.0</v>
      </c>
      <c r="I8" s="431">
        <f t="shared" ref="I8:I13" si="2">SUM(G8:H8)/2</f>
        <v>4</v>
      </c>
      <c r="J8" s="121"/>
      <c r="K8" s="121"/>
      <c r="L8" s="121"/>
      <c r="M8" s="121"/>
      <c r="N8" s="121"/>
      <c r="O8" s="121"/>
      <c r="P8" s="121"/>
      <c r="Q8" s="432">
        <f t="shared" ref="Q8:Q45" si="3">SUM(O8:P8)/2</f>
        <v>0</v>
      </c>
      <c r="R8" s="77"/>
      <c r="S8" s="77"/>
      <c r="T8" s="77"/>
      <c r="U8" s="77"/>
      <c r="V8" s="433">
        <f t="shared" ref="V8:V35" si="4">SUM(S8:U8)/3</f>
        <v>0</v>
      </c>
      <c r="W8" s="121"/>
      <c r="X8" s="121"/>
      <c r="Y8" s="121"/>
      <c r="Z8" s="434">
        <f t="shared" ref="Z8:Z45" si="5">SUM(W8:Y8)/3</f>
        <v>0</v>
      </c>
      <c r="AA8" s="119"/>
      <c r="AB8" s="121"/>
      <c r="AC8" s="316"/>
      <c r="AD8" s="316"/>
      <c r="AE8" s="435">
        <f t="shared" ref="AE8:AE30" si="6">SUM(AA8:AD8)/4</f>
        <v>0</v>
      </c>
      <c r="AF8" s="76"/>
      <c r="AG8" s="121"/>
      <c r="AH8" s="316"/>
      <c r="AI8" s="316"/>
      <c r="AJ8" s="302"/>
      <c r="AK8" s="121"/>
      <c r="AL8" s="436">
        <f t="shared" ref="AL8:AL45" si="7">SUM(AI8:AK8)/3</f>
        <v>0</v>
      </c>
      <c r="AM8" s="456">
        <f t="shared" ref="AM8:AM44" si="8">SUM(AL8,AH8,AC8,Y8,U8,R8,Q8,P8,O8,L8)/10</f>
        <v>0</v>
      </c>
    </row>
    <row r="9" ht="15.75" customHeight="1">
      <c r="A9" s="74">
        <v>2.0</v>
      </c>
      <c r="B9" s="241" t="s">
        <v>510</v>
      </c>
      <c r="C9" s="75" t="s">
        <v>44</v>
      </c>
      <c r="D9" s="62"/>
      <c r="E9" s="62"/>
      <c r="F9" s="296">
        <f t="shared" si="1"/>
        <v>0</v>
      </c>
      <c r="G9" s="62"/>
      <c r="H9" s="62"/>
      <c r="I9" s="85">
        <f t="shared" si="2"/>
        <v>0</v>
      </c>
      <c r="J9" s="62"/>
      <c r="K9" s="62"/>
      <c r="L9" s="62"/>
      <c r="M9" s="62"/>
      <c r="N9" s="62"/>
      <c r="O9" s="62"/>
      <c r="P9" s="62"/>
      <c r="Q9" s="365">
        <f t="shared" si="3"/>
        <v>0</v>
      </c>
      <c r="R9" s="65"/>
      <c r="S9" s="63"/>
      <c r="T9" s="63"/>
      <c r="U9" s="62"/>
      <c r="V9" s="68">
        <f t="shared" si="4"/>
        <v>0</v>
      </c>
      <c r="W9" s="63"/>
      <c r="X9" s="63"/>
      <c r="Y9" s="63"/>
      <c r="Z9" s="69">
        <f t="shared" si="5"/>
        <v>0</v>
      </c>
      <c r="AA9" s="62"/>
      <c r="AB9" s="63"/>
      <c r="AC9" s="250"/>
      <c r="AD9" s="250"/>
      <c r="AE9" s="67">
        <f t="shared" si="6"/>
        <v>0</v>
      </c>
      <c r="AF9" s="64"/>
      <c r="AG9" s="63"/>
      <c r="AH9" s="250"/>
      <c r="AI9" s="250"/>
      <c r="AJ9" s="213"/>
      <c r="AK9" s="63"/>
      <c r="AL9" s="70">
        <f t="shared" si="7"/>
        <v>0</v>
      </c>
      <c r="AM9" s="371">
        <f t="shared" si="8"/>
        <v>0</v>
      </c>
    </row>
    <row r="10" ht="15.75" customHeight="1">
      <c r="A10" s="74">
        <v>3.0</v>
      </c>
      <c r="B10" s="241" t="s">
        <v>511</v>
      </c>
      <c r="C10" s="75" t="s">
        <v>44</v>
      </c>
      <c r="D10" s="62"/>
      <c r="E10" s="62"/>
      <c r="F10" s="305">
        <f t="shared" si="1"/>
        <v>0</v>
      </c>
      <c r="G10" s="62"/>
      <c r="H10" s="62"/>
      <c r="I10" s="85">
        <f t="shared" si="2"/>
        <v>0</v>
      </c>
      <c r="J10" s="62"/>
      <c r="K10" s="62"/>
      <c r="L10" s="62"/>
      <c r="M10" s="65"/>
      <c r="N10" s="65"/>
      <c r="O10" s="63"/>
      <c r="P10" s="62"/>
      <c r="Q10" s="365">
        <f t="shared" si="3"/>
        <v>0</v>
      </c>
      <c r="R10" s="65"/>
      <c r="S10" s="63"/>
      <c r="T10" s="63"/>
      <c r="U10" s="62"/>
      <c r="V10" s="68">
        <f t="shared" si="4"/>
        <v>0</v>
      </c>
      <c r="W10" s="63"/>
      <c r="X10" s="63"/>
      <c r="Y10" s="63"/>
      <c r="Z10" s="69">
        <f t="shared" si="5"/>
        <v>0</v>
      </c>
      <c r="AA10" s="62"/>
      <c r="AB10" s="63"/>
      <c r="AC10" s="250"/>
      <c r="AD10" s="250"/>
      <c r="AE10" s="67">
        <f t="shared" si="6"/>
        <v>0</v>
      </c>
      <c r="AF10" s="64"/>
      <c r="AG10" s="63"/>
      <c r="AH10" s="250"/>
      <c r="AI10" s="250"/>
      <c r="AJ10" s="213"/>
      <c r="AK10" s="63"/>
      <c r="AL10" s="70">
        <f t="shared" si="7"/>
        <v>0</v>
      </c>
      <c r="AM10" s="371">
        <f t="shared" si="8"/>
        <v>0</v>
      </c>
    </row>
    <row r="11" ht="15.75" customHeight="1">
      <c r="A11" s="74">
        <v>4.0</v>
      </c>
      <c r="B11" s="241" t="s">
        <v>512</v>
      </c>
      <c r="C11" s="75" t="s">
        <v>45</v>
      </c>
      <c r="D11" s="62"/>
      <c r="E11" s="62"/>
      <c r="F11" s="305">
        <f t="shared" si="1"/>
        <v>0</v>
      </c>
      <c r="G11" s="62"/>
      <c r="H11" s="62"/>
      <c r="I11" s="85">
        <f t="shared" si="2"/>
        <v>0</v>
      </c>
      <c r="J11" s="62"/>
      <c r="K11" s="62"/>
      <c r="L11" s="62"/>
      <c r="M11" s="65"/>
      <c r="N11" s="65"/>
      <c r="O11" s="63"/>
      <c r="P11" s="62"/>
      <c r="Q11" s="365">
        <f t="shared" si="3"/>
        <v>0</v>
      </c>
      <c r="R11" s="65"/>
      <c r="S11" s="63"/>
      <c r="T11" s="63"/>
      <c r="U11" s="62"/>
      <c r="V11" s="68">
        <f t="shared" si="4"/>
        <v>0</v>
      </c>
      <c r="W11" s="63"/>
      <c r="X11" s="63"/>
      <c r="Y11" s="63"/>
      <c r="Z11" s="69">
        <f t="shared" si="5"/>
        <v>0</v>
      </c>
      <c r="AA11" s="62"/>
      <c r="AB11" s="63"/>
      <c r="AC11" s="250"/>
      <c r="AD11" s="250"/>
      <c r="AE11" s="67">
        <f t="shared" si="6"/>
        <v>0</v>
      </c>
      <c r="AF11" s="64"/>
      <c r="AG11" s="63"/>
      <c r="AH11" s="250"/>
      <c r="AI11" s="250"/>
      <c r="AJ11" s="213"/>
      <c r="AK11" s="63"/>
      <c r="AL11" s="70">
        <f t="shared" si="7"/>
        <v>0</v>
      </c>
      <c r="AM11" s="371">
        <f t="shared" si="8"/>
        <v>0</v>
      </c>
    </row>
    <row r="12" ht="15.75" customHeight="1">
      <c r="A12" s="74">
        <v>5.0</v>
      </c>
      <c r="B12" s="241" t="s">
        <v>513</v>
      </c>
      <c r="C12" s="75" t="s">
        <v>45</v>
      </c>
      <c r="D12" s="62"/>
      <c r="E12" s="62"/>
      <c r="F12" s="305">
        <f t="shared" si="1"/>
        <v>0</v>
      </c>
      <c r="G12" s="62"/>
      <c r="H12" s="62"/>
      <c r="I12" s="85">
        <f t="shared" si="2"/>
        <v>0</v>
      </c>
      <c r="J12" s="62"/>
      <c r="K12" s="62"/>
      <c r="L12" s="62"/>
      <c r="M12" s="65"/>
      <c r="N12" s="65"/>
      <c r="O12" s="63"/>
      <c r="P12" s="62"/>
      <c r="Q12" s="365">
        <f t="shared" si="3"/>
        <v>0</v>
      </c>
      <c r="R12" s="65"/>
      <c r="S12" s="63"/>
      <c r="T12" s="63"/>
      <c r="U12" s="62"/>
      <c r="V12" s="68">
        <f t="shared" si="4"/>
        <v>0</v>
      </c>
      <c r="W12" s="63"/>
      <c r="X12" s="63"/>
      <c r="Y12" s="63"/>
      <c r="Z12" s="69">
        <f t="shared" si="5"/>
        <v>0</v>
      </c>
      <c r="AA12" s="62"/>
      <c r="AB12" s="63"/>
      <c r="AC12" s="250"/>
      <c r="AD12" s="250"/>
      <c r="AE12" s="67">
        <f t="shared" si="6"/>
        <v>0</v>
      </c>
      <c r="AF12" s="64"/>
      <c r="AG12" s="63"/>
      <c r="AH12" s="250"/>
      <c r="AI12" s="250"/>
      <c r="AJ12" s="213"/>
      <c r="AK12" s="63"/>
      <c r="AL12" s="70">
        <f t="shared" si="7"/>
        <v>0</v>
      </c>
      <c r="AM12" s="371">
        <f t="shared" si="8"/>
        <v>0</v>
      </c>
    </row>
    <row r="13" ht="18.0" customHeight="1">
      <c r="A13" s="74">
        <v>6.0</v>
      </c>
      <c r="B13" s="241" t="s">
        <v>514</v>
      </c>
      <c r="C13" s="75" t="s">
        <v>45</v>
      </c>
      <c r="D13" s="62"/>
      <c r="E13" s="62"/>
      <c r="F13" s="305">
        <f t="shared" si="1"/>
        <v>0</v>
      </c>
      <c r="G13" s="62"/>
      <c r="H13" s="62"/>
      <c r="I13" s="85">
        <f t="shared" si="2"/>
        <v>0</v>
      </c>
      <c r="J13" s="62"/>
      <c r="K13" s="62"/>
      <c r="L13" s="62"/>
      <c r="M13" s="65"/>
      <c r="N13" s="65"/>
      <c r="O13" s="63"/>
      <c r="P13" s="62"/>
      <c r="Q13" s="365">
        <f t="shared" si="3"/>
        <v>0</v>
      </c>
      <c r="R13" s="65"/>
      <c r="S13" s="63"/>
      <c r="T13" s="63"/>
      <c r="U13" s="62"/>
      <c r="V13" s="68">
        <f t="shared" si="4"/>
        <v>0</v>
      </c>
      <c r="W13" s="63"/>
      <c r="X13" s="63"/>
      <c r="Y13" s="63"/>
      <c r="Z13" s="69">
        <f t="shared" si="5"/>
        <v>0</v>
      </c>
      <c r="AA13" s="62"/>
      <c r="AB13" s="63"/>
      <c r="AC13" s="250"/>
      <c r="AD13" s="250"/>
      <c r="AE13" s="67">
        <f t="shared" si="6"/>
        <v>0</v>
      </c>
      <c r="AF13" s="64"/>
      <c r="AG13" s="63"/>
      <c r="AH13" s="250"/>
      <c r="AI13" s="250"/>
      <c r="AJ13" s="213"/>
      <c r="AK13" s="63"/>
      <c r="AL13" s="70">
        <f t="shared" si="7"/>
        <v>0</v>
      </c>
      <c r="AM13" s="371">
        <f t="shared" si="8"/>
        <v>0</v>
      </c>
    </row>
    <row r="14" ht="15.75" customHeight="1">
      <c r="A14" s="74">
        <v>7.0</v>
      </c>
      <c r="B14" s="241" t="s">
        <v>515</v>
      </c>
      <c r="C14" s="75" t="s">
        <v>44</v>
      </c>
      <c r="D14" s="62"/>
      <c r="E14" s="62"/>
      <c r="F14" s="305">
        <v>0.0</v>
      </c>
      <c r="G14" s="62"/>
      <c r="H14" s="62"/>
      <c r="I14" s="85">
        <v>0.0</v>
      </c>
      <c r="J14" s="62"/>
      <c r="K14" s="62"/>
      <c r="L14" s="62"/>
      <c r="M14" s="65"/>
      <c r="N14" s="65"/>
      <c r="O14" s="63"/>
      <c r="P14" s="62"/>
      <c r="Q14" s="365">
        <f t="shared" si="3"/>
        <v>0</v>
      </c>
      <c r="R14" s="65"/>
      <c r="S14" s="63"/>
      <c r="T14" s="63"/>
      <c r="U14" s="62"/>
      <c r="V14" s="68">
        <f t="shared" si="4"/>
        <v>0</v>
      </c>
      <c r="W14" s="63"/>
      <c r="X14" s="63"/>
      <c r="Y14" s="63"/>
      <c r="Z14" s="69">
        <f t="shared" si="5"/>
        <v>0</v>
      </c>
      <c r="AA14" s="62"/>
      <c r="AB14" s="63"/>
      <c r="AC14" s="250"/>
      <c r="AD14" s="250"/>
      <c r="AE14" s="67">
        <f t="shared" si="6"/>
        <v>0</v>
      </c>
      <c r="AF14" s="64"/>
      <c r="AG14" s="63"/>
      <c r="AH14" s="250"/>
      <c r="AI14" s="250"/>
      <c r="AJ14" s="213"/>
      <c r="AK14" s="63"/>
      <c r="AL14" s="70">
        <f t="shared" si="7"/>
        <v>0</v>
      </c>
      <c r="AM14" s="371">
        <f t="shared" si="8"/>
        <v>0</v>
      </c>
    </row>
    <row r="15" ht="15.75" customHeight="1">
      <c r="A15" s="74">
        <v>8.0</v>
      </c>
      <c r="B15" s="241" t="s">
        <v>516</v>
      </c>
      <c r="C15" s="75" t="s">
        <v>44</v>
      </c>
      <c r="D15" s="62"/>
      <c r="E15" s="62"/>
      <c r="F15" s="305">
        <f t="shared" ref="F15:F45" si="9">SUM(D15:E15)/2</f>
        <v>0</v>
      </c>
      <c r="G15" s="62"/>
      <c r="H15" s="62"/>
      <c r="I15" s="85">
        <f t="shared" ref="I15:I45" si="10">SUM(G15:H15)/2</f>
        <v>0</v>
      </c>
      <c r="J15" s="62"/>
      <c r="K15" s="62"/>
      <c r="L15" s="62"/>
      <c r="M15" s="65"/>
      <c r="N15" s="65"/>
      <c r="O15" s="63"/>
      <c r="P15" s="62"/>
      <c r="Q15" s="365">
        <f t="shared" si="3"/>
        <v>0</v>
      </c>
      <c r="R15" s="65"/>
      <c r="S15" s="63"/>
      <c r="T15" s="63"/>
      <c r="U15" s="62"/>
      <c r="V15" s="68">
        <f t="shared" si="4"/>
        <v>0</v>
      </c>
      <c r="W15" s="63"/>
      <c r="X15" s="63"/>
      <c r="Y15" s="63"/>
      <c r="Z15" s="69">
        <f t="shared" si="5"/>
        <v>0</v>
      </c>
      <c r="AA15" s="62"/>
      <c r="AB15" s="63"/>
      <c r="AC15" s="250"/>
      <c r="AD15" s="250"/>
      <c r="AE15" s="67">
        <f t="shared" si="6"/>
        <v>0</v>
      </c>
      <c r="AF15" s="64">
        <v>4.0</v>
      </c>
      <c r="AG15" s="63"/>
      <c r="AH15" s="250"/>
      <c r="AI15" s="250"/>
      <c r="AJ15" s="213"/>
      <c r="AK15" s="63"/>
      <c r="AL15" s="70">
        <f t="shared" si="7"/>
        <v>0</v>
      </c>
      <c r="AM15" s="371">
        <f t="shared" si="8"/>
        <v>0</v>
      </c>
    </row>
    <row r="16" ht="15.75" customHeight="1">
      <c r="A16" s="74">
        <v>9.0</v>
      </c>
      <c r="B16" s="241" t="s">
        <v>517</v>
      </c>
      <c r="C16" s="75" t="s">
        <v>44</v>
      </c>
      <c r="D16" s="62"/>
      <c r="E16" s="62"/>
      <c r="F16" s="305">
        <f t="shared" si="9"/>
        <v>0</v>
      </c>
      <c r="G16" s="62"/>
      <c r="H16" s="62"/>
      <c r="I16" s="85">
        <f t="shared" si="10"/>
        <v>0</v>
      </c>
      <c r="J16" s="62"/>
      <c r="K16" s="62"/>
      <c r="L16" s="62"/>
      <c r="M16" s="65"/>
      <c r="N16" s="65"/>
      <c r="O16" s="63"/>
      <c r="P16" s="62"/>
      <c r="Q16" s="365">
        <f t="shared" si="3"/>
        <v>0</v>
      </c>
      <c r="R16" s="65"/>
      <c r="S16" s="63"/>
      <c r="T16" s="63"/>
      <c r="U16" s="62"/>
      <c r="V16" s="68">
        <f t="shared" si="4"/>
        <v>0</v>
      </c>
      <c r="W16" s="63"/>
      <c r="X16" s="63"/>
      <c r="Y16" s="63"/>
      <c r="Z16" s="69">
        <f t="shared" si="5"/>
        <v>0</v>
      </c>
      <c r="AA16" s="62"/>
      <c r="AB16" s="63"/>
      <c r="AC16" s="250"/>
      <c r="AD16" s="250"/>
      <c r="AE16" s="67">
        <f t="shared" si="6"/>
        <v>0</v>
      </c>
      <c r="AF16" s="64">
        <v>3.0</v>
      </c>
      <c r="AG16" s="63"/>
      <c r="AH16" s="250"/>
      <c r="AI16" s="250"/>
      <c r="AJ16" s="213"/>
      <c r="AK16" s="63"/>
      <c r="AL16" s="70">
        <f t="shared" si="7"/>
        <v>0</v>
      </c>
      <c r="AM16" s="371">
        <f t="shared" si="8"/>
        <v>0</v>
      </c>
    </row>
    <row r="17" ht="15.75" customHeight="1">
      <c r="A17" s="74">
        <v>10.0</v>
      </c>
      <c r="B17" s="241" t="s">
        <v>518</v>
      </c>
      <c r="C17" s="75" t="s">
        <v>44</v>
      </c>
      <c r="D17" s="62"/>
      <c r="E17" s="62"/>
      <c r="F17" s="305">
        <f t="shared" si="9"/>
        <v>0</v>
      </c>
      <c r="G17" s="62"/>
      <c r="H17" s="62"/>
      <c r="I17" s="85">
        <f t="shared" si="10"/>
        <v>0</v>
      </c>
      <c r="J17" s="62"/>
      <c r="K17" s="62"/>
      <c r="L17" s="62"/>
      <c r="M17" s="65"/>
      <c r="N17" s="65"/>
      <c r="O17" s="63"/>
      <c r="P17" s="62"/>
      <c r="Q17" s="365">
        <f t="shared" si="3"/>
        <v>0</v>
      </c>
      <c r="R17" s="65"/>
      <c r="S17" s="63"/>
      <c r="T17" s="63"/>
      <c r="U17" s="62"/>
      <c r="V17" s="68">
        <f t="shared" si="4"/>
        <v>0</v>
      </c>
      <c r="W17" s="63"/>
      <c r="X17" s="63"/>
      <c r="Y17" s="63"/>
      <c r="Z17" s="69">
        <f t="shared" si="5"/>
        <v>0</v>
      </c>
      <c r="AA17" s="62"/>
      <c r="AB17" s="63"/>
      <c r="AC17" s="250"/>
      <c r="AD17" s="250"/>
      <c r="AE17" s="67">
        <f t="shared" si="6"/>
        <v>0</v>
      </c>
      <c r="AF17" s="64"/>
      <c r="AG17" s="63"/>
      <c r="AH17" s="250"/>
      <c r="AI17" s="250"/>
      <c r="AJ17" s="213"/>
      <c r="AK17" s="63"/>
      <c r="AL17" s="70">
        <f t="shared" si="7"/>
        <v>0</v>
      </c>
      <c r="AM17" s="371">
        <f t="shared" si="8"/>
        <v>0</v>
      </c>
    </row>
    <row r="18" ht="15.75" customHeight="1">
      <c r="A18" s="74">
        <v>11.0</v>
      </c>
      <c r="B18" s="241" t="s">
        <v>519</v>
      </c>
      <c r="C18" s="75" t="s">
        <v>44</v>
      </c>
      <c r="D18" s="62"/>
      <c r="E18" s="62"/>
      <c r="F18" s="305">
        <f t="shared" si="9"/>
        <v>0</v>
      </c>
      <c r="G18" s="62"/>
      <c r="H18" s="62"/>
      <c r="I18" s="85">
        <f t="shared" si="10"/>
        <v>0</v>
      </c>
      <c r="J18" s="62"/>
      <c r="K18" s="62"/>
      <c r="L18" s="62"/>
      <c r="M18" s="65"/>
      <c r="N18" s="65"/>
      <c r="O18" s="63"/>
      <c r="P18" s="62"/>
      <c r="Q18" s="365">
        <f t="shared" si="3"/>
        <v>0</v>
      </c>
      <c r="R18" s="65"/>
      <c r="S18" s="63"/>
      <c r="T18" s="63"/>
      <c r="U18" s="62"/>
      <c r="V18" s="68">
        <f t="shared" si="4"/>
        <v>0</v>
      </c>
      <c r="W18" s="63"/>
      <c r="X18" s="63"/>
      <c r="Y18" s="63"/>
      <c r="Z18" s="69">
        <f t="shared" si="5"/>
        <v>0</v>
      </c>
      <c r="AA18" s="62"/>
      <c r="AB18" s="63"/>
      <c r="AC18" s="250"/>
      <c r="AD18" s="250"/>
      <c r="AE18" s="67">
        <f t="shared" si="6"/>
        <v>0</v>
      </c>
      <c r="AF18" s="64"/>
      <c r="AG18" s="63"/>
      <c r="AH18" s="250"/>
      <c r="AI18" s="250"/>
      <c r="AJ18" s="213"/>
      <c r="AK18" s="63"/>
      <c r="AL18" s="70">
        <f t="shared" si="7"/>
        <v>0</v>
      </c>
      <c r="AM18" s="371">
        <f t="shared" si="8"/>
        <v>0</v>
      </c>
    </row>
    <row r="19" ht="15.75" customHeight="1">
      <c r="A19" s="74">
        <v>12.0</v>
      </c>
      <c r="B19" s="241" t="s">
        <v>520</v>
      </c>
      <c r="C19" s="75" t="s">
        <v>44</v>
      </c>
      <c r="D19" s="62"/>
      <c r="E19" s="62"/>
      <c r="F19" s="305">
        <f t="shared" si="9"/>
        <v>0</v>
      </c>
      <c r="G19" s="62"/>
      <c r="H19" s="62"/>
      <c r="I19" s="85">
        <f t="shared" si="10"/>
        <v>0</v>
      </c>
      <c r="J19" s="62"/>
      <c r="K19" s="62"/>
      <c r="L19" s="62"/>
      <c r="M19" s="65"/>
      <c r="N19" s="65"/>
      <c r="O19" s="63"/>
      <c r="P19" s="62"/>
      <c r="Q19" s="365">
        <f t="shared" si="3"/>
        <v>0</v>
      </c>
      <c r="R19" s="65"/>
      <c r="S19" s="63"/>
      <c r="T19" s="63"/>
      <c r="U19" s="62"/>
      <c r="V19" s="68">
        <f t="shared" si="4"/>
        <v>0</v>
      </c>
      <c r="W19" s="63"/>
      <c r="X19" s="63"/>
      <c r="Y19" s="63"/>
      <c r="Z19" s="69">
        <f t="shared" si="5"/>
        <v>0</v>
      </c>
      <c r="AA19" s="62"/>
      <c r="AB19" s="63"/>
      <c r="AC19" s="250"/>
      <c r="AD19" s="250"/>
      <c r="AE19" s="67">
        <f t="shared" si="6"/>
        <v>0</v>
      </c>
      <c r="AF19" s="64"/>
      <c r="AG19" s="63"/>
      <c r="AH19" s="250"/>
      <c r="AI19" s="250"/>
      <c r="AJ19" s="213"/>
      <c r="AK19" s="63"/>
      <c r="AL19" s="70">
        <f t="shared" si="7"/>
        <v>0</v>
      </c>
      <c r="AM19" s="371">
        <f t="shared" si="8"/>
        <v>0</v>
      </c>
    </row>
    <row r="20" ht="20.25" customHeight="1">
      <c r="A20" s="74">
        <v>13.0</v>
      </c>
      <c r="B20" s="241" t="s">
        <v>521</v>
      </c>
      <c r="C20" s="75" t="s">
        <v>44</v>
      </c>
      <c r="D20" s="62"/>
      <c r="E20" s="62"/>
      <c r="F20" s="305">
        <f t="shared" si="9"/>
        <v>0</v>
      </c>
      <c r="G20" s="62"/>
      <c r="H20" s="62"/>
      <c r="I20" s="85">
        <f t="shared" si="10"/>
        <v>0</v>
      </c>
      <c r="J20" s="62"/>
      <c r="K20" s="62"/>
      <c r="L20" s="62"/>
      <c r="M20" s="65"/>
      <c r="N20" s="65"/>
      <c r="O20" s="63"/>
      <c r="P20" s="62"/>
      <c r="Q20" s="365">
        <f t="shared" si="3"/>
        <v>0</v>
      </c>
      <c r="R20" s="65"/>
      <c r="S20" s="63"/>
      <c r="T20" s="63"/>
      <c r="U20" s="62"/>
      <c r="V20" s="68">
        <f t="shared" si="4"/>
        <v>0</v>
      </c>
      <c r="W20" s="63"/>
      <c r="X20" s="63"/>
      <c r="Y20" s="63"/>
      <c r="Z20" s="69">
        <f t="shared" si="5"/>
        <v>0</v>
      </c>
      <c r="AA20" s="62"/>
      <c r="AB20" s="63"/>
      <c r="AC20" s="250"/>
      <c r="AD20" s="250"/>
      <c r="AE20" s="67">
        <f t="shared" si="6"/>
        <v>0</v>
      </c>
      <c r="AF20" s="64"/>
      <c r="AG20" s="63"/>
      <c r="AH20" s="250"/>
      <c r="AI20" s="250"/>
      <c r="AJ20" s="213"/>
      <c r="AK20" s="63"/>
      <c r="AL20" s="70">
        <f t="shared" si="7"/>
        <v>0</v>
      </c>
      <c r="AM20" s="371">
        <f t="shared" si="8"/>
        <v>0</v>
      </c>
    </row>
    <row r="21" ht="15.75" customHeight="1">
      <c r="A21" s="74">
        <v>14.0</v>
      </c>
      <c r="B21" s="241" t="s">
        <v>522</v>
      </c>
      <c r="C21" s="75" t="s">
        <v>44</v>
      </c>
      <c r="D21" s="62"/>
      <c r="E21" s="62"/>
      <c r="F21" s="305">
        <f t="shared" si="9"/>
        <v>0</v>
      </c>
      <c r="G21" s="62"/>
      <c r="H21" s="62"/>
      <c r="I21" s="85">
        <f t="shared" si="10"/>
        <v>0</v>
      </c>
      <c r="J21" s="62"/>
      <c r="K21" s="62"/>
      <c r="L21" s="62"/>
      <c r="M21" s="65"/>
      <c r="N21" s="65"/>
      <c r="O21" s="63"/>
      <c r="P21" s="62"/>
      <c r="Q21" s="365">
        <f t="shared" si="3"/>
        <v>0</v>
      </c>
      <c r="R21" s="65"/>
      <c r="S21" s="63"/>
      <c r="T21" s="63"/>
      <c r="U21" s="62"/>
      <c r="V21" s="68">
        <f t="shared" si="4"/>
        <v>0</v>
      </c>
      <c r="W21" s="63"/>
      <c r="X21" s="63"/>
      <c r="Y21" s="63"/>
      <c r="Z21" s="69">
        <f t="shared" si="5"/>
        <v>0</v>
      </c>
      <c r="AA21" s="62"/>
      <c r="AB21" s="63"/>
      <c r="AC21" s="250"/>
      <c r="AD21" s="250"/>
      <c r="AE21" s="67">
        <f t="shared" si="6"/>
        <v>0</v>
      </c>
      <c r="AF21" s="64"/>
      <c r="AG21" s="63"/>
      <c r="AH21" s="250"/>
      <c r="AI21" s="250"/>
      <c r="AJ21" s="213"/>
      <c r="AK21" s="63"/>
      <c r="AL21" s="70">
        <f t="shared" si="7"/>
        <v>0</v>
      </c>
      <c r="AM21" s="371">
        <f t="shared" si="8"/>
        <v>0</v>
      </c>
    </row>
    <row r="22" ht="15.75" customHeight="1">
      <c r="A22" s="74">
        <v>15.0</v>
      </c>
      <c r="B22" s="241" t="s">
        <v>523</v>
      </c>
      <c r="C22" s="75" t="s">
        <v>44</v>
      </c>
      <c r="D22" s="62"/>
      <c r="E22" s="62"/>
      <c r="F22" s="305">
        <f t="shared" si="9"/>
        <v>0</v>
      </c>
      <c r="G22" s="62"/>
      <c r="H22" s="62"/>
      <c r="I22" s="85">
        <f t="shared" si="10"/>
        <v>0</v>
      </c>
      <c r="J22" s="62"/>
      <c r="K22" s="62"/>
      <c r="L22" s="62"/>
      <c r="M22" s="65"/>
      <c r="N22" s="65"/>
      <c r="O22" s="63"/>
      <c r="P22" s="62"/>
      <c r="Q22" s="365">
        <f t="shared" si="3"/>
        <v>0</v>
      </c>
      <c r="R22" s="65"/>
      <c r="S22" s="63"/>
      <c r="T22" s="63"/>
      <c r="U22" s="62"/>
      <c r="V22" s="68">
        <f t="shared" si="4"/>
        <v>0</v>
      </c>
      <c r="W22" s="63"/>
      <c r="X22" s="63"/>
      <c r="Y22" s="63"/>
      <c r="Z22" s="69">
        <f t="shared" si="5"/>
        <v>0</v>
      </c>
      <c r="AA22" s="62"/>
      <c r="AB22" s="63"/>
      <c r="AC22" s="250"/>
      <c r="AD22" s="250"/>
      <c r="AE22" s="67">
        <f t="shared" si="6"/>
        <v>0</v>
      </c>
      <c r="AF22" s="64"/>
      <c r="AG22" s="63"/>
      <c r="AH22" s="250"/>
      <c r="AI22" s="250"/>
      <c r="AJ22" s="213"/>
      <c r="AK22" s="63"/>
      <c r="AL22" s="70">
        <f t="shared" si="7"/>
        <v>0</v>
      </c>
      <c r="AM22" s="371">
        <f t="shared" si="8"/>
        <v>0</v>
      </c>
    </row>
    <row r="23" ht="17.25" customHeight="1">
      <c r="A23" s="74">
        <v>16.0</v>
      </c>
      <c r="B23" s="241" t="s">
        <v>524</v>
      </c>
      <c r="C23" s="75" t="s">
        <v>44</v>
      </c>
      <c r="D23" s="62"/>
      <c r="E23" s="62"/>
      <c r="F23" s="305">
        <f t="shared" si="9"/>
        <v>0</v>
      </c>
      <c r="G23" s="62"/>
      <c r="H23" s="62"/>
      <c r="I23" s="85">
        <f t="shared" si="10"/>
        <v>0</v>
      </c>
      <c r="J23" s="62"/>
      <c r="K23" s="62"/>
      <c r="L23" s="62"/>
      <c r="M23" s="65"/>
      <c r="N23" s="65"/>
      <c r="O23" s="63"/>
      <c r="P23" s="62"/>
      <c r="Q23" s="365">
        <f t="shared" si="3"/>
        <v>0</v>
      </c>
      <c r="R23" s="65"/>
      <c r="S23" s="63"/>
      <c r="T23" s="63"/>
      <c r="U23" s="62"/>
      <c r="V23" s="68">
        <f t="shared" si="4"/>
        <v>0</v>
      </c>
      <c r="W23" s="63"/>
      <c r="X23" s="63"/>
      <c r="Y23" s="63"/>
      <c r="Z23" s="69">
        <f t="shared" si="5"/>
        <v>0</v>
      </c>
      <c r="AA23" s="62"/>
      <c r="AB23" s="63"/>
      <c r="AC23" s="250"/>
      <c r="AD23" s="250"/>
      <c r="AE23" s="67">
        <f t="shared" si="6"/>
        <v>0</v>
      </c>
      <c r="AF23" s="64"/>
      <c r="AG23" s="63"/>
      <c r="AH23" s="250"/>
      <c r="AI23" s="250"/>
      <c r="AJ23" s="213"/>
      <c r="AK23" s="63"/>
      <c r="AL23" s="70">
        <f t="shared" si="7"/>
        <v>0</v>
      </c>
      <c r="AM23" s="371">
        <f t="shared" si="8"/>
        <v>0</v>
      </c>
    </row>
    <row r="24" ht="15.75" customHeight="1">
      <c r="A24" s="74">
        <v>17.0</v>
      </c>
      <c r="B24" s="241" t="s">
        <v>525</v>
      </c>
      <c r="C24" s="75" t="s">
        <v>44</v>
      </c>
      <c r="D24" s="62"/>
      <c r="E24" s="62"/>
      <c r="F24" s="305">
        <f t="shared" si="9"/>
        <v>0</v>
      </c>
      <c r="G24" s="62"/>
      <c r="H24" s="62"/>
      <c r="I24" s="85">
        <f t="shared" si="10"/>
        <v>0</v>
      </c>
      <c r="J24" s="62"/>
      <c r="K24" s="62"/>
      <c r="L24" s="62"/>
      <c r="M24" s="65"/>
      <c r="N24" s="65"/>
      <c r="O24" s="63"/>
      <c r="P24" s="62"/>
      <c r="Q24" s="365">
        <f t="shared" si="3"/>
        <v>0</v>
      </c>
      <c r="R24" s="65"/>
      <c r="S24" s="63"/>
      <c r="T24" s="63"/>
      <c r="U24" s="62"/>
      <c r="V24" s="68">
        <f t="shared" si="4"/>
        <v>0</v>
      </c>
      <c r="W24" s="63"/>
      <c r="X24" s="63"/>
      <c r="Y24" s="63"/>
      <c r="Z24" s="69">
        <f t="shared" si="5"/>
        <v>0</v>
      </c>
      <c r="AA24" s="62"/>
      <c r="AB24" s="63"/>
      <c r="AC24" s="250"/>
      <c r="AD24" s="250"/>
      <c r="AE24" s="67">
        <f t="shared" si="6"/>
        <v>0</v>
      </c>
      <c r="AF24" s="64">
        <v>3.0</v>
      </c>
      <c r="AG24" s="63"/>
      <c r="AH24" s="250"/>
      <c r="AI24" s="250"/>
      <c r="AJ24" s="213"/>
      <c r="AK24" s="63"/>
      <c r="AL24" s="70">
        <f t="shared" si="7"/>
        <v>0</v>
      </c>
      <c r="AM24" s="371">
        <f t="shared" si="8"/>
        <v>0</v>
      </c>
    </row>
    <row r="25" ht="15.75" customHeight="1">
      <c r="A25" s="74">
        <v>18.0</v>
      </c>
      <c r="B25" s="241" t="s">
        <v>526</v>
      </c>
      <c r="C25" s="75" t="s">
        <v>44</v>
      </c>
      <c r="D25" s="62"/>
      <c r="E25" s="62"/>
      <c r="F25" s="305">
        <f t="shared" si="9"/>
        <v>0</v>
      </c>
      <c r="G25" s="62"/>
      <c r="H25" s="62"/>
      <c r="I25" s="85">
        <f t="shared" si="10"/>
        <v>0</v>
      </c>
      <c r="J25" s="62"/>
      <c r="K25" s="62"/>
      <c r="L25" s="62"/>
      <c r="M25" s="65"/>
      <c r="N25" s="65"/>
      <c r="O25" s="63"/>
      <c r="P25" s="62"/>
      <c r="Q25" s="365">
        <f t="shared" si="3"/>
        <v>0</v>
      </c>
      <c r="R25" s="65"/>
      <c r="S25" s="63"/>
      <c r="T25" s="63"/>
      <c r="U25" s="62"/>
      <c r="V25" s="68">
        <f t="shared" si="4"/>
        <v>0</v>
      </c>
      <c r="W25" s="63"/>
      <c r="X25" s="63"/>
      <c r="Y25" s="63"/>
      <c r="Z25" s="69">
        <f t="shared" si="5"/>
        <v>0</v>
      </c>
      <c r="AA25" s="62"/>
      <c r="AB25" s="63"/>
      <c r="AC25" s="250"/>
      <c r="AD25" s="250"/>
      <c r="AE25" s="67">
        <f t="shared" si="6"/>
        <v>0</v>
      </c>
      <c r="AF25" s="64"/>
      <c r="AG25" s="63"/>
      <c r="AH25" s="250"/>
      <c r="AI25" s="250"/>
      <c r="AJ25" s="213"/>
      <c r="AK25" s="63"/>
      <c r="AL25" s="70">
        <f t="shared" si="7"/>
        <v>0</v>
      </c>
      <c r="AM25" s="371">
        <f t="shared" si="8"/>
        <v>0</v>
      </c>
    </row>
    <row r="26" ht="15.75" customHeight="1">
      <c r="A26" s="74">
        <v>19.0</v>
      </c>
      <c r="B26" s="241" t="s">
        <v>527</v>
      </c>
      <c r="C26" s="75" t="s">
        <v>44</v>
      </c>
      <c r="D26" s="62"/>
      <c r="E26" s="62"/>
      <c r="F26" s="305">
        <f t="shared" si="9"/>
        <v>0</v>
      </c>
      <c r="G26" s="62"/>
      <c r="H26" s="62"/>
      <c r="I26" s="85">
        <f t="shared" si="10"/>
        <v>0</v>
      </c>
      <c r="J26" s="62"/>
      <c r="K26" s="62"/>
      <c r="L26" s="62"/>
      <c r="M26" s="65"/>
      <c r="N26" s="65"/>
      <c r="O26" s="63"/>
      <c r="P26" s="62"/>
      <c r="Q26" s="365">
        <f t="shared" si="3"/>
        <v>0</v>
      </c>
      <c r="R26" s="65"/>
      <c r="S26" s="63"/>
      <c r="T26" s="63"/>
      <c r="U26" s="62"/>
      <c r="V26" s="68">
        <f t="shared" si="4"/>
        <v>0</v>
      </c>
      <c r="W26" s="63"/>
      <c r="X26" s="63"/>
      <c r="Y26" s="63"/>
      <c r="Z26" s="69">
        <f t="shared" si="5"/>
        <v>0</v>
      </c>
      <c r="AA26" s="62"/>
      <c r="AB26" s="63"/>
      <c r="AC26" s="250"/>
      <c r="AD26" s="250"/>
      <c r="AE26" s="67">
        <f t="shared" si="6"/>
        <v>0</v>
      </c>
      <c r="AF26" s="64"/>
      <c r="AG26" s="63"/>
      <c r="AH26" s="250"/>
      <c r="AI26" s="250"/>
      <c r="AJ26" s="213"/>
      <c r="AK26" s="63"/>
      <c r="AL26" s="70">
        <f t="shared" si="7"/>
        <v>0</v>
      </c>
      <c r="AM26" s="371">
        <f t="shared" si="8"/>
        <v>0</v>
      </c>
    </row>
    <row r="27" ht="15.75" customHeight="1">
      <c r="A27" s="74">
        <v>20.0</v>
      </c>
      <c r="B27" s="241" t="s">
        <v>528</v>
      </c>
      <c r="C27" s="75" t="s">
        <v>44</v>
      </c>
      <c r="D27" s="62"/>
      <c r="E27" s="62"/>
      <c r="F27" s="305">
        <f t="shared" si="9"/>
        <v>0</v>
      </c>
      <c r="G27" s="62"/>
      <c r="H27" s="62"/>
      <c r="I27" s="85">
        <f t="shared" si="10"/>
        <v>0</v>
      </c>
      <c r="J27" s="62"/>
      <c r="K27" s="62"/>
      <c r="L27" s="62"/>
      <c r="M27" s="65"/>
      <c r="N27" s="65"/>
      <c r="O27" s="63"/>
      <c r="P27" s="62"/>
      <c r="Q27" s="365">
        <f t="shared" si="3"/>
        <v>0</v>
      </c>
      <c r="R27" s="65"/>
      <c r="S27" s="63"/>
      <c r="T27" s="63"/>
      <c r="U27" s="62"/>
      <c r="V27" s="68">
        <f t="shared" si="4"/>
        <v>0</v>
      </c>
      <c r="W27" s="63"/>
      <c r="X27" s="63"/>
      <c r="Y27" s="63"/>
      <c r="Z27" s="69">
        <f t="shared" si="5"/>
        <v>0</v>
      </c>
      <c r="AA27" s="62"/>
      <c r="AB27" s="63"/>
      <c r="AC27" s="250"/>
      <c r="AD27" s="250"/>
      <c r="AE27" s="67">
        <f t="shared" si="6"/>
        <v>0</v>
      </c>
      <c r="AF27" s="64"/>
      <c r="AG27" s="63"/>
      <c r="AH27" s="250"/>
      <c r="AI27" s="250"/>
      <c r="AJ27" s="213"/>
      <c r="AK27" s="63"/>
      <c r="AL27" s="70">
        <f t="shared" si="7"/>
        <v>0</v>
      </c>
      <c r="AM27" s="371">
        <f t="shared" si="8"/>
        <v>0</v>
      </c>
    </row>
    <row r="28" ht="15.75" customHeight="1">
      <c r="A28" s="74">
        <v>21.0</v>
      </c>
      <c r="B28" s="241" t="s">
        <v>529</v>
      </c>
      <c r="C28" s="75" t="s">
        <v>44</v>
      </c>
      <c r="D28" s="62"/>
      <c r="E28" s="62"/>
      <c r="F28" s="305">
        <f t="shared" si="9"/>
        <v>0</v>
      </c>
      <c r="G28" s="62"/>
      <c r="H28" s="62"/>
      <c r="I28" s="85">
        <f t="shared" si="10"/>
        <v>0</v>
      </c>
      <c r="J28" s="62"/>
      <c r="K28" s="62"/>
      <c r="L28" s="62"/>
      <c r="M28" s="65"/>
      <c r="N28" s="65"/>
      <c r="O28" s="63"/>
      <c r="P28" s="62"/>
      <c r="Q28" s="365">
        <f t="shared" si="3"/>
        <v>0</v>
      </c>
      <c r="R28" s="65"/>
      <c r="S28" s="63"/>
      <c r="T28" s="63"/>
      <c r="U28" s="62"/>
      <c r="V28" s="68">
        <f t="shared" si="4"/>
        <v>0</v>
      </c>
      <c r="W28" s="63"/>
      <c r="X28" s="63"/>
      <c r="Y28" s="63"/>
      <c r="Z28" s="69">
        <f t="shared" si="5"/>
        <v>0</v>
      </c>
      <c r="AA28" s="62"/>
      <c r="AB28" s="63"/>
      <c r="AC28" s="250"/>
      <c r="AD28" s="250"/>
      <c r="AE28" s="67">
        <f t="shared" si="6"/>
        <v>0</v>
      </c>
      <c r="AF28" s="64"/>
      <c r="AG28" s="63"/>
      <c r="AH28" s="250"/>
      <c r="AI28" s="250"/>
      <c r="AJ28" s="213"/>
      <c r="AK28" s="63"/>
      <c r="AL28" s="70">
        <f t="shared" si="7"/>
        <v>0</v>
      </c>
      <c r="AM28" s="371">
        <f t="shared" si="8"/>
        <v>0</v>
      </c>
    </row>
    <row r="29" ht="15.75" customHeight="1">
      <c r="A29" s="74">
        <v>22.0</v>
      </c>
      <c r="B29" s="241" t="s">
        <v>530</v>
      </c>
      <c r="C29" s="75" t="s">
        <v>45</v>
      </c>
      <c r="D29" s="62"/>
      <c r="E29" s="62"/>
      <c r="F29" s="305">
        <f t="shared" si="9"/>
        <v>0</v>
      </c>
      <c r="G29" s="62"/>
      <c r="H29" s="62"/>
      <c r="I29" s="85">
        <f t="shared" si="10"/>
        <v>0</v>
      </c>
      <c r="J29" s="62"/>
      <c r="K29" s="62"/>
      <c r="L29" s="62"/>
      <c r="M29" s="65"/>
      <c r="N29" s="65"/>
      <c r="O29" s="63"/>
      <c r="P29" s="62"/>
      <c r="Q29" s="365">
        <f t="shared" si="3"/>
        <v>0</v>
      </c>
      <c r="R29" s="65"/>
      <c r="S29" s="63"/>
      <c r="T29" s="63"/>
      <c r="U29" s="62"/>
      <c r="V29" s="68">
        <f t="shared" si="4"/>
        <v>0</v>
      </c>
      <c r="W29" s="63"/>
      <c r="X29" s="63"/>
      <c r="Y29" s="63"/>
      <c r="Z29" s="69">
        <f t="shared" si="5"/>
        <v>0</v>
      </c>
      <c r="AA29" s="62"/>
      <c r="AB29" s="63"/>
      <c r="AC29" s="250"/>
      <c r="AD29" s="250"/>
      <c r="AE29" s="67">
        <f t="shared" si="6"/>
        <v>0</v>
      </c>
      <c r="AF29" s="64">
        <v>3.0</v>
      </c>
      <c r="AG29" s="63"/>
      <c r="AH29" s="250"/>
      <c r="AI29" s="250"/>
      <c r="AJ29" s="213"/>
      <c r="AK29" s="63"/>
      <c r="AL29" s="70">
        <f t="shared" si="7"/>
        <v>0</v>
      </c>
      <c r="AM29" s="371">
        <f t="shared" si="8"/>
        <v>0</v>
      </c>
    </row>
    <row r="30" ht="15.75" customHeight="1">
      <c r="A30" s="74">
        <v>23.0</v>
      </c>
      <c r="B30" s="241" t="s">
        <v>531</v>
      </c>
      <c r="C30" s="75" t="s">
        <v>45</v>
      </c>
      <c r="D30" s="62"/>
      <c r="E30" s="62"/>
      <c r="F30" s="305">
        <f t="shared" si="9"/>
        <v>0</v>
      </c>
      <c r="G30" s="62"/>
      <c r="H30" s="62"/>
      <c r="I30" s="85">
        <f t="shared" si="10"/>
        <v>0</v>
      </c>
      <c r="J30" s="62"/>
      <c r="K30" s="62"/>
      <c r="L30" s="62"/>
      <c r="M30" s="65"/>
      <c r="N30" s="65"/>
      <c r="O30" s="63"/>
      <c r="P30" s="62"/>
      <c r="Q30" s="365">
        <f t="shared" si="3"/>
        <v>0</v>
      </c>
      <c r="R30" s="65"/>
      <c r="S30" s="63"/>
      <c r="T30" s="63"/>
      <c r="U30" s="62"/>
      <c r="V30" s="68">
        <f t="shared" si="4"/>
        <v>0</v>
      </c>
      <c r="W30" s="63"/>
      <c r="X30" s="63"/>
      <c r="Y30" s="63"/>
      <c r="Z30" s="69">
        <f t="shared" si="5"/>
        <v>0</v>
      </c>
      <c r="AA30" s="62"/>
      <c r="AB30" s="63"/>
      <c r="AC30" s="250"/>
      <c r="AD30" s="250"/>
      <c r="AE30" s="67">
        <f t="shared" si="6"/>
        <v>0</v>
      </c>
      <c r="AF30" s="64">
        <v>3.0</v>
      </c>
      <c r="AG30" s="63"/>
      <c r="AH30" s="250"/>
      <c r="AI30" s="250"/>
      <c r="AJ30" s="213"/>
      <c r="AK30" s="63"/>
      <c r="AL30" s="70">
        <f t="shared" si="7"/>
        <v>0</v>
      </c>
      <c r="AM30" s="371">
        <f t="shared" si="8"/>
        <v>0</v>
      </c>
    </row>
    <row r="31" ht="15.75" customHeight="1">
      <c r="A31" s="74">
        <v>24.0</v>
      </c>
      <c r="B31" s="241" t="s">
        <v>532</v>
      </c>
      <c r="C31" s="75" t="s">
        <v>45</v>
      </c>
      <c r="D31" s="62"/>
      <c r="E31" s="62"/>
      <c r="F31" s="305">
        <f t="shared" si="9"/>
        <v>0</v>
      </c>
      <c r="G31" s="62"/>
      <c r="H31" s="62"/>
      <c r="I31" s="85">
        <f t="shared" si="10"/>
        <v>0</v>
      </c>
      <c r="J31" s="62"/>
      <c r="K31" s="62"/>
      <c r="L31" s="62"/>
      <c r="M31" s="65"/>
      <c r="N31" s="65"/>
      <c r="O31" s="63"/>
      <c r="P31" s="62"/>
      <c r="Q31" s="365">
        <f t="shared" si="3"/>
        <v>0</v>
      </c>
      <c r="R31" s="65"/>
      <c r="S31" s="63"/>
      <c r="T31" s="63"/>
      <c r="U31" s="62"/>
      <c r="V31" s="68">
        <f t="shared" si="4"/>
        <v>0</v>
      </c>
      <c r="W31" s="63"/>
      <c r="X31" s="63"/>
      <c r="Y31" s="63"/>
      <c r="Z31" s="69">
        <f t="shared" si="5"/>
        <v>0</v>
      </c>
      <c r="AA31" s="62"/>
      <c r="AB31" s="63"/>
      <c r="AC31" s="250"/>
      <c r="AD31" s="250"/>
      <c r="AE31" s="67">
        <v>6.0</v>
      </c>
      <c r="AF31" s="64">
        <v>4.0</v>
      </c>
      <c r="AG31" s="63"/>
      <c r="AH31" s="250"/>
      <c r="AI31" s="250"/>
      <c r="AJ31" s="213"/>
      <c r="AK31" s="63"/>
      <c r="AL31" s="70">
        <f t="shared" si="7"/>
        <v>0</v>
      </c>
      <c r="AM31" s="371">
        <f t="shared" si="8"/>
        <v>0</v>
      </c>
    </row>
    <row r="32" ht="15.75" customHeight="1">
      <c r="A32" s="74">
        <v>25.0</v>
      </c>
      <c r="B32" s="241" t="s">
        <v>533</v>
      </c>
      <c r="C32" s="75" t="s">
        <v>45</v>
      </c>
      <c r="D32" s="62"/>
      <c r="E32" s="62"/>
      <c r="F32" s="305">
        <f t="shared" si="9"/>
        <v>0</v>
      </c>
      <c r="G32" s="62"/>
      <c r="H32" s="62"/>
      <c r="I32" s="85">
        <f t="shared" si="10"/>
        <v>0</v>
      </c>
      <c r="J32" s="62"/>
      <c r="K32" s="62"/>
      <c r="L32" s="62"/>
      <c r="M32" s="65"/>
      <c r="N32" s="65"/>
      <c r="O32" s="63"/>
      <c r="P32" s="62"/>
      <c r="Q32" s="365">
        <f t="shared" si="3"/>
        <v>0</v>
      </c>
      <c r="R32" s="65"/>
      <c r="S32" s="63"/>
      <c r="T32" s="63"/>
      <c r="U32" s="62"/>
      <c r="V32" s="68">
        <f t="shared" si="4"/>
        <v>0</v>
      </c>
      <c r="W32" s="63"/>
      <c r="X32" s="63"/>
      <c r="Y32" s="63"/>
      <c r="Z32" s="69">
        <f t="shared" si="5"/>
        <v>0</v>
      </c>
      <c r="AA32" s="62"/>
      <c r="AB32" s="63"/>
      <c r="AC32" s="250"/>
      <c r="AD32" s="250"/>
      <c r="AE32" s="67">
        <f t="shared" ref="AE32:AE45" si="11">SUM(AA32:AD32)/4</f>
        <v>0</v>
      </c>
      <c r="AF32" s="64">
        <v>3.0</v>
      </c>
      <c r="AG32" s="63"/>
      <c r="AH32" s="250"/>
      <c r="AI32" s="250"/>
      <c r="AJ32" s="213"/>
      <c r="AK32" s="63"/>
      <c r="AL32" s="70">
        <f t="shared" si="7"/>
        <v>0</v>
      </c>
      <c r="AM32" s="371">
        <f t="shared" si="8"/>
        <v>0</v>
      </c>
    </row>
    <row r="33" ht="18.0" customHeight="1">
      <c r="A33" s="74">
        <v>26.0</v>
      </c>
      <c r="B33" s="241" t="s">
        <v>534</v>
      </c>
      <c r="C33" s="75" t="s">
        <v>45</v>
      </c>
      <c r="D33" s="62"/>
      <c r="E33" s="62"/>
      <c r="F33" s="305">
        <f t="shared" si="9"/>
        <v>0</v>
      </c>
      <c r="G33" s="62"/>
      <c r="H33" s="62"/>
      <c r="I33" s="85">
        <f t="shared" si="10"/>
        <v>0</v>
      </c>
      <c r="J33" s="62"/>
      <c r="K33" s="62"/>
      <c r="L33" s="62"/>
      <c r="M33" s="65"/>
      <c r="N33" s="65"/>
      <c r="O33" s="63"/>
      <c r="P33" s="62"/>
      <c r="Q33" s="365">
        <f t="shared" si="3"/>
        <v>0</v>
      </c>
      <c r="R33" s="65"/>
      <c r="S33" s="63"/>
      <c r="T33" s="63"/>
      <c r="U33" s="62"/>
      <c r="V33" s="68">
        <f t="shared" si="4"/>
        <v>0</v>
      </c>
      <c r="W33" s="63"/>
      <c r="X33" s="63"/>
      <c r="Y33" s="63"/>
      <c r="Z33" s="69">
        <f t="shared" si="5"/>
        <v>0</v>
      </c>
      <c r="AA33" s="62"/>
      <c r="AB33" s="63"/>
      <c r="AC33" s="250"/>
      <c r="AD33" s="250"/>
      <c r="AE33" s="67">
        <f t="shared" si="11"/>
        <v>0</v>
      </c>
      <c r="AF33" s="64">
        <v>3.0</v>
      </c>
      <c r="AG33" s="63"/>
      <c r="AH33" s="250"/>
      <c r="AI33" s="250"/>
      <c r="AJ33" s="213"/>
      <c r="AK33" s="63"/>
      <c r="AL33" s="70">
        <f t="shared" si="7"/>
        <v>0</v>
      </c>
      <c r="AM33" s="371">
        <f t="shared" si="8"/>
        <v>0</v>
      </c>
    </row>
    <row r="34" ht="15.75" customHeight="1">
      <c r="A34" s="74">
        <v>27.0</v>
      </c>
      <c r="B34" s="241" t="s">
        <v>535</v>
      </c>
      <c r="C34" s="75" t="s">
        <v>44</v>
      </c>
      <c r="D34" s="62"/>
      <c r="E34" s="62"/>
      <c r="F34" s="305">
        <f t="shared" si="9"/>
        <v>0</v>
      </c>
      <c r="G34" s="62"/>
      <c r="H34" s="62"/>
      <c r="I34" s="85">
        <f t="shared" si="10"/>
        <v>0</v>
      </c>
      <c r="J34" s="62"/>
      <c r="K34" s="62"/>
      <c r="L34" s="62"/>
      <c r="M34" s="65"/>
      <c r="N34" s="65"/>
      <c r="O34" s="63"/>
      <c r="P34" s="62"/>
      <c r="Q34" s="365">
        <f t="shared" si="3"/>
        <v>0</v>
      </c>
      <c r="R34" s="65"/>
      <c r="S34" s="63"/>
      <c r="T34" s="63"/>
      <c r="U34" s="62"/>
      <c r="V34" s="68">
        <f t="shared" si="4"/>
        <v>0</v>
      </c>
      <c r="W34" s="63"/>
      <c r="X34" s="63"/>
      <c r="Y34" s="63"/>
      <c r="Z34" s="69">
        <f t="shared" si="5"/>
        <v>0</v>
      </c>
      <c r="AA34" s="62"/>
      <c r="AB34" s="63"/>
      <c r="AC34" s="250"/>
      <c r="AD34" s="250"/>
      <c r="AE34" s="67">
        <f t="shared" si="11"/>
        <v>0</v>
      </c>
      <c r="AF34" s="64"/>
      <c r="AG34" s="63"/>
      <c r="AH34" s="250"/>
      <c r="AI34" s="250"/>
      <c r="AJ34" s="213"/>
      <c r="AK34" s="63"/>
      <c r="AL34" s="70">
        <f t="shared" si="7"/>
        <v>0</v>
      </c>
      <c r="AM34" s="371">
        <f t="shared" si="8"/>
        <v>0</v>
      </c>
    </row>
    <row r="35" ht="15.75" customHeight="1">
      <c r="A35" s="74">
        <v>28.0</v>
      </c>
      <c r="B35" s="241" t="s">
        <v>536</v>
      </c>
      <c r="C35" s="75" t="s">
        <v>45</v>
      </c>
      <c r="D35" s="62"/>
      <c r="E35" s="62"/>
      <c r="F35" s="305">
        <f t="shared" si="9"/>
        <v>0</v>
      </c>
      <c r="G35" s="62"/>
      <c r="H35" s="62"/>
      <c r="I35" s="85">
        <f t="shared" si="10"/>
        <v>0</v>
      </c>
      <c r="J35" s="62"/>
      <c r="K35" s="62"/>
      <c r="L35" s="62"/>
      <c r="M35" s="65"/>
      <c r="N35" s="65"/>
      <c r="O35" s="63"/>
      <c r="P35" s="62"/>
      <c r="Q35" s="365">
        <f t="shared" si="3"/>
        <v>0</v>
      </c>
      <c r="R35" s="65"/>
      <c r="S35" s="63"/>
      <c r="T35" s="63"/>
      <c r="U35" s="62"/>
      <c r="V35" s="68">
        <f t="shared" si="4"/>
        <v>0</v>
      </c>
      <c r="W35" s="63"/>
      <c r="X35" s="63"/>
      <c r="Y35" s="63"/>
      <c r="Z35" s="69">
        <f t="shared" si="5"/>
        <v>0</v>
      </c>
      <c r="AA35" s="62"/>
      <c r="AB35" s="63"/>
      <c r="AC35" s="250"/>
      <c r="AD35" s="250"/>
      <c r="AE35" s="67">
        <f t="shared" si="11"/>
        <v>0</v>
      </c>
      <c r="AF35" s="64">
        <v>3.0</v>
      </c>
      <c r="AG35" s="63"/>
      <c r="AH35" s="250"/>
      <c r="AI35" s="250"/>
      <c r="AJ35" s="213"/>
      <c r="AK35" s="63"/>
      <c r="AL35" s="70">
        <f t="shared" si="7"/>
        <v>0</v>
      </c>
      <c r="AM35" s="371">
        <f t="shared" si="8"/>
        <v>0</v>
      </c>
    </row>
    <row r="36" ht="15.75" customHeight="1">
      <c r="A36" s="74">
        <v>29.0</v>
      </c>
      <c r="B36" s="241" t="s">
        <v>537</v>
      </c>
      <c r="C36" s="75" t="s">
        <v>45</v>
      </c>
      <c r="D36" s="62"/>
      <c r="E36" s="62"/>
      <c r="F36" s="305">
        <f t="shared" si="9"/>
        <v>0</v>
      </c>
      <c r="G36" s="62"/>
      <c r="H36" s="62"/>
      <c r="I36" s="85">
        <f t="shared" si="10"/>
        <v>0</v>
      </c>
      <c r="J36" s="62"/>
      <c r="K36" s="62"/>
      <c r="L36" s="62"/>
      <c r="M36" s="65"/>
      <c r="N36" s="65"/>
      <c r="O36" s="63"/>
      <c r="P36" s="62"/>
      <c r="Q36" s="365">
        <f t="shared" si="3"/>
        <v>0</v>
      </c>
      <c r="R36" s="65"/>
      <c r="S36" s="63"/>
      <c r="T36" s="63"/>
      <c r="U36" s="62"/>
      <c r="V36" s="68">
        <v>0.0</v>
      </c>
      <c r="W36" s="63"/>
      <c r="X36" s="63"/>
      <c r="Y36" s="63"/>
      <c r="Z36" s="69">
        <f t="shared" si="5"/>
        <v>0</v>
      </c>
      <c r="AA36" s="62"/>
      <c r="AB36" s="63"/>
      <c r="AC36" s="250"/>
      <c r="AD36" s="250"/>
      <c r="AE36" s="67">
        <f t="shared" si="11"/>
        <v>0</v>
      </c>
      <c r="AF36" s="64"/>
      <c r="AG36" s="63"/>
      <c r="AH36" s="250"/>
      <c r="AI36" s="250"/>
      <c r="AJ36" s="213"/>
      <c r="AK36" s="63"/>
      <c r="AL36" s="70">
        <f t="shared" si="7"/>
        <v>0</v>
      </c>
      <c r="AM36" s="371">
        <f t="shared" si="8"/>
        <v>0</v>
      </c>
    </row>
    <row r="37" ht="15.75" customHeight="1">
      <c r="A37" s="74">
        <v>30.0</v>
      </c>
      <c r="B37" s="241" t="s">
        <v>538</v>
      </c>
      <c r="C37" s="75" t="s">
        <v>45</v>
      </c>
      <c r="D37" s="62"/>
      <c r="E37" s="62"/>
      <c r="F37" s="305">
        <f t="shared" si="9"/>
        <v>0</v>
      </c>
      <c r="G37" s="62"/>
      <c r="H37" s="62"/>
      <c r="I37" s="85">
        <f t="shared" si="10"/>
        <v>0</v>
      </c>
      <c r="J37" s="62"/>
      <c r="K37" s="62"/>
      <c r="L37" s="62"/>
      <c r="M37" s="65"/>
      <c r="N37" s="65"/>
      <c r="O37" s="63"/>
      <c r="P37" s="62"/>
      <c r="Q37" s="365">
        <f t="shared" si="3"/>
        <v>0</v>
      </c>
      <c r="R37" s="65"/>
      <c r="S37" s="63"/>
      <c r="T37" s="63"/>
      <c r="U37" s="62"/>
      <c r="V37" s="68">
        <f t="shared" ref="V37:V45" si="12">SUM(S37:U37)/3</f>
        <v>0</v>
      </c>
      <c r="W37" s="63"/>
      <c r="X37" s="63"/>
      <c r="Y37" s="63"/>
      <c r="Z37" s="69">
        <f t="shared" si="5"/>
        <v>0</v>
      </c>
      <c r="AA37" s="62"/>
      <c r="AB37" s="63"/>
      <c r="AC37" s="250"/>
      <c r="AD37" s="250"/>
      <c r="AE37" s="67">
        <f t="shared" si="11"/>
        <v>0</v>
      </c>
      <c r="AF37" s="64">
        <v>3.0</v>
      </c>
      <c r="AG37" s="63"/>
      <c r="AH37" s="250"/>
      <c r="AI37" s="250"/>
      <c r="AJ37" s="213"/>
      <c r="AK37" s="63"/>
      <c r="AL37" s="70">
        <f t="shared" si="7"/>
        <v>0</v>
      </c>
      <c r="AM37" s="371">
        <f t="shared" si="8"/>
        <v>0</v>
      </c>
    </row>
    <row r="38" ht="15.75" customHeight="1">
      <c r="A38" s="74">
        <v>31.0</v>
      </c>
      <c r="B38" s="241" t="s">
        <v>539</v>
      </c>
      <c r="C38" s="75" t="s">
        <v>45</v>
      </c>
      <c r="D38" s="62"/>
      <c r="E38" s="62"/>
      <c r="F38" s="305">
        <f t="shared" si="9"/>
        <v>0</v>
      </c>
      <c r="G38" s="65"/>
      <c r="H38" s="65"/>
      <c r="I38" s="85">
        <f t="shared" si="10"/>
        <v>0</v>
      </c>
      <c r="J38" s="65"/>
      <c r="K38" s="65"/>
      <c r="L38" s="65"/>
      <c r="M38" s="65"/>
      <c r="N38" s="65"/>
      <c r="O38" s="63"/>
      <c r="P38" s="65"/>
      <c r="Q38" s="365">
        <f t="shared" si="3"/>
        <v>0</v>
      </c>
      <c r="R38" s="65"/>
      <c r="S38" s="65"/>
      <c r="T38" s="63"/>
      <c r="U38" s="65"/>
      <c r="V38" s="68">
        <f t="shared" si="12"/>
        <v>0</v>
      </c>
      <c r="W38" s="65"/>
      <c r="X38" s="63"/>
      <c r="Y38" s="65"/>
      <c r="Z38" s="69">
        <f t="shared" si="5"/>
        <v>0</v>
      </c>
      <c r="AA38" s="65"/>
      <c r="AB38" s="63"/>
      <c r="AC38" s="65"/>
      <c r="AD38" s="65"/>
      <c r="AE38" s="67">
        <f t="shared" si="11"/>
        <v>0</v>
      </c>
      <c r="AF38" s="65">
        <v>3.0</v>
      </c>
      <c r="AG38" s="63"/>
      <c r="AH38" s="65"/>
      <c r="AI38" s="65"/>
      <c r="AJ38" s="65"/>
      <c r="AK38" s="65"/>
      <c r="AL38" s="70">
        <f t="shared" si="7"/>
        <v>0</v>
      </c>
      <c r="AM38" s="371">
        <f t="shared" si="8"/>
        <v>0</v>
      </c>
    </row>
    <row r="39" ht="15.75" customHeight="1">
      <c r="A39" s="74">
        <v>32.0</v>
      </c>
      <c r="B39" s="241" t="s">
        <v>540</v>
      </c>
      <c r="C39" s="75" t="s">
        <v>44</v>
      </c>
      <c r="D39" s="62"/>
      <c r="E39" s="62"/>
      <c r="F39" s="305">
        <f t="shared" si="9"/>
        <v>0</v>
      </c>
      <c r="G39" s="65"/>
      <c r="H39" s="65"/>
      <c r="I39" s="85">
        <f t="shared" si="10"/>
        <v>0</v>
      </c>
      <c r="J39" s="65"/>
      <c r="K39" s="65"/>
      <c r="L39" s="65"/>
      <c r="M39" s="65"/>
      <c r="N39" s="65"/>
      <c r="O39" s="63"/>
      <c r="P39" s="65"/>
      <c r="Q39" s="365">
        <f t="shared" si="3"/>
        <v>0</v>
      </c>
      <c r="R39" s="65"/>
      <c r="S39" s="65"/>
      <c r="T39" s="63"/>
      <c r="U39" s="65"/>
      <c r="V39" s="68">
        <f t="shared" si="12"/>
        <v>0</v>
      </c>
      <c r="W39" s="65"/>
      <c r="X39" s="63"/>
      <c r="Y39" s="65"/>
      <c r="Z39" s="69">
        <f t="shared" si="5"/>
        <v>0</v>
      </c>
      <c r="AA39" s="75"/>
      <c r="AB39" s="63"/>
      <c r="AC39" s="75"/>
      <c r="AD39" s="75"/>
      <c r="AE39" s="67">
        <f t="shared" si="11"/>
        <v>0</v>
      </c>
      <c r="AF39" s="65"/>
      <c r="AG39" s="63"/>
      <c r="AH39" s="75"/>
      <c r="AI39" s="75"/>
      <c r="AJ39" s="75"/>
      <c r="AK39" s="75"/>
      <c r="AL39" s="70">
        <f t="shared" si="7"/>
        <v>0</v>
      </c>
      <c r="AM39" s="371">
        <f t="shared" si="8"/>
        <v>0</v>
      </c>
    </row>
    <row r="40" ht="15.75" customHeight="1">
      <c r="A40" s="74">
        <v>33.0</v>
      </c>
      <c r="B40" s="241" t="s">
        <v>541</v>
      </c>
      <c r="C40" s="75" t="s">
        <v>45</v>
      </c>
      <c r="D40" s="62"/>
      <c r="E40" s="62"/>
      <c r="F40" s="305">
        <f t="shared" si="9"/>
        <v>0</v>
      </c>
      <c r="G40" s="65"/>
      <c r="H40" s="65"/>
      <c r="I40" s="85">
        <f t="shared" si="10"/>
        <v>0</v>
      </c>
      <c r="J40" s="65"/>
      <c r="K40" s="65"/>
      <c r="L40" s="65"/>
      <c r="M40" s="65"/>
      <c r="N40" s="65"/>
      <c r="O40" s="63"/>
      <c r="P40" s="65"/>
      <c r="Q40" s="365">
        <f t="shared" si="3"/>
        <v>0</v>
      </c>
      <c r="R40" s="65"/>
      <c r="S40" s="65"/>
      <c r="T40" s="63"/>
      <c r="U40" s="65"/>
      <c r="V40" s="68">
        <f t="shared" si="12"/>
        <v>0</v>
      </c>
      <c r="W40" s="65"/>
      <c r="X40" s="63"/>
      <c r="Y40" s="65"/>
      <c r="Z40" s="69">
        <f t="shared" si="5"/>
        <v>0</v>
      </c>
      <c r="AA40" s="75"/>
      <c r="AB40" s="63"/>
      <c r="AC40" s="75"/>
      <c r="AD40" s="75"/>
      <c r="AE40" s="67">
        <f t="shared" si="11"/>
        <v>0</v>
      </c>
      <c r="AF40" s="65"/>
      <c r="AG40" s="63"/>
      <c r="AH40" s="75"/>
      <c r="AI40" s="75"/>
      <c r="AJ40" s="75"/>
      <c r="AK40" s="75"/>
      <c r="AL40" s="70">
        <f t="shared" si="7"/>
        <v>0</v>
      </c>
      <c r="AM40" s="371">
        <f t="shared" si="8"/>
        <v>0</v>
      </c>
    </row>
    <row r="41" ht="15.75" customHeight="1">
      <c r="A41" s="74">
        <v>34.0</v>
      </c>
      <c r="B41" s="241" t="s">
        <v>542</v>
      </c>
      <c r="C41" s="75" t="s">
        <v>45</v>
      </c>
      <c r="D41" s="62"/>
      <c r="E41" s="62"/>
      <c r="F41" s="305">
        <f t="shared" si="9"/>
        <v>0</v>
      </c>
      <c r="G41" s="65"/>
      <c r="H41" s="65"/>
      <c r="I41" s="85">
        <f t="shared" si="10"/>
        <v>0</v>
      </c>
      <c r="J41" s="65"/>
      <c r="K41" s="65"/>
      <c r="L41" s="65"/>
      <c r="M41" s="65"/>
      <c r="N41" s="65"/>
      <c r="O41" s="63"/>
      <c r="P41" s="65"/>
      <c r="Q41" s="365">
        <f t="shared" si="3"/>
        <v>0</v>
      </c>
      <c r="R41" s="65"/>
      <c r="S41" s="65"/>
      <c r="T41" s="63"/>
      <c r="U41" s="65"/>
      <c r="V41" s="68">
        <f t="shared" si="12"/>
        <v>0</v>
      </c>
      <c r="W41" s="65"/>
      <c r="X41" s="63"/>
      <c r="Y41" s="65"/>
      <c r="Z41" s="69">
        <f t="shared" si="5"/>
        <v>0</v>
      </c>
      <c r="AA41" s="75"/>
      <c r="AB41" s="63"/>
      <c r="AC41" s="75"/>
      <c r="AD41" s="75"/>
      <c r="AE41" s="67">
        <f t="shared" si="11"/>
        <v>0</v>
      </c>
      <c r="AF41" s="65"/>
      <c r="AG41" s="63"/>
      <c r="AH41" s="75"/>
      <c r="AI41" s="75"/>
      <c r="AJ41" s="75"/>
      <c r="AK41" s="75"/>
      <c r="AL41" s="70">
        <f t="shared" si="7"/>
        <v>0</v>
      </c>
      <c r="AM41" s="371">
        <f t="shared" si="8"/>
        <v>0</v>
      </c>
    </row>
    <row r="42" ht="15.75" customHeight="1">
      <c r="A42" s="74">
        <v>35.0</v>
      </c>
      <c r="B42" s="241" t="s">
        <v>543</v>
      </c>
      <c r="C42" s="75" t="s">
        <v>45</v>
      </c>
      <c r="D42" s="62"/>
      <c r="E42" s="62"/>
      <c r="F42" s="305">
        <f t="shared" si="9"/>
        <v>0</v>
      </c>
      <c r="G42" s="65"/>
      <c r="H42" s="65"/>
      <c r="I42" s="85">
        <f t="shared" si="10"/>
        <v>0</v>
      </c>
      <c r="J42" s="65"/>
      <c r="K42" s="65"/>
      <c r="L42" s="65"/>
      <c r="M42" s="65"/>
      <c r="N42" s="65"/>
      <c r="O42" s="63"/>
      <c r="P42" s="65"/>
      <c r="Q42" s="365">
        <f t="shared" si="3"/>
        <v>0</v>
      </c>
      <c r="R42" s="65"/>
      <c r="S42" s="65"/>
      <c r="T42" s="63"/>
      <c r="U42" s="65"/>
      <c r="V42" s="68">
        <f t="shared" si="12"/>
        <v>0</v>
      </c>
      <c r="W42" s="65"/>
      <c r="X42" s="63"/>
      <c r="Y42" s="65"/>
      <c r="Z42" s="69">
        <f t="shared" si="5"/>
        <v>0</v>
      </c>
      <c r="AA42" s="65"/>
      <c r="AB42" s="63"/>
      <c r="AC42" s="65"/>
      <c r="AD42" s="65"/>
      <c r="AE42" s="67">
        <f t="shared" si="11"/>
        <v>0</v>
      </c>
      <c r="AF42" s="65"/>
      <c r="AG42" s="63"/>
      <c r="AH42" s="75"/>
      <c r="AI42" s="75"/>
      <c r="AJ42" s="75"/>
      <c r="AK42" s="75"/>
      <c r="AL42" s="70">
        <f t="shared" si="7"/>
        <v>0</v>
      </c>
      <c r="AM42" s="371">
        <f t="shared" si="8"/>
        <v>0</v>
      </c>
    </row>
    <row r="43" ht="15.75" customHeight="1">
      <c r="A43" s="74">
        <v>36.0</v>
      </c>
      <c r="B43" s="241" t="s">
        <v>544</v>
      </c>
      <c r="C43" s="75" t="s">
        <v>45</v>
      </c>
      <c r="D43" s="62"/>
      <c r="E43" s="62"/>
      <c r="F43" s="305">
        <f t="shared" si="9"/>
        <v>0</v>
      </c>
      <c r="G43" s="65"/>
      <c r="H43" s="65"/>
      <c r="I43" s="85">
        <f t="shared" si="10"/>
        <v>0</v>
      </c>
      <c r="J43" s="65"/>
      <c r="K43" s="65"/>
      <c r="L43" s="65"/>
      <c r="M43" s="65"/>
      <c r="N43" s="65"/>
      <c r="O43" s="63"/>
      <c r="P43" s="65"/>
      <c r="Q43" s="365">
        <f t="shared" si="3"/>
        <v>0</v>
      </c>
      <c r="R43" s="65"/>
      <c r="S43" s="65"/>
      <c r="T43" s="63"/>
      <c r="U43" s="65"/>
      <c r="V43" s="68">
        <f t="shared" si="12"/>
        <v>0</v>
      </c>
      <c r="W43" s="65"/>
      <c r="X43" s="63"/>
      <c r="Y43" s="65"/>
      <c r="Z43" s="69">
        <f t="shared" si="5"/>
        <v>0</v>
      </c>
      <c r="AA43" s="75"/>
      <c r="AB43" s="63"/>
      <c r="AC43" s="75"/>
      <c r="AD43" s="75"/>
      <c r="AE43" s="67">
        <f t="shared" si="11"/>
        <v>0</v>
      </c>
      <c r="AF43" s="65"/>
      <c r="AG43" s="63"/>
      <c r="AH43" s="75"/>
      <c r="AI43" s="75"/>
      <c r="AJ43" s="75"/>
      <c r="AK43" s="75"/>
      <c r="AL43" s="70">
        <f t="shared" si="7"/>
        <v>0</v>
      </c>
      <c r="AM43" s="371">
        <f t="shared" si="8"/>
        <v>0</v>
      </c>
    </row>
    <row r="44" ht="15.75" customHeight="1">
      <c r="A44" s="74">
        <v>37.0</v>
      </c>
      <c r="B44" s="75" t="s">
        <v>545</v>
      </c>
      <c r="C44" s="75" t="s">
        <v>45</v>
      </c>
      <c r="D44" s="65"/>
      <c r="E44" s="75"/>
      <c r="F44" s="305">
        <f t="shared" si="9"/>
        <v>0</v>
      </c>
      <c r="G44" s="75"/>
      <c r="H44" s="75"/>
      <c r="I44" s="85">
        <f t="shared" si="10"/>
        <v>0</v>
      </c>
      <c r="J44" s="75"/>
      <c r="K44" s="75"/>
      <c r="L44" s="75"/>
      <c r="M44" s="65"/>
      <c r="N44" s="63"/>
      <c r="O44" s="63"/>
      <c r="P44" s="75"/>
      <c r="Q44" s="365">
        <f t="shared" si="3"/>
        <v>0</v>
      </c>
      <c r="R44" s="65"/>
      <c r="S44" s="75"/>
      <c r="T44" s="63"/>
      <c r="U44" s="75"/>
      <c r="V44" s="68">
        <f t="shared" si="12"/>
        <v>0</v>
      </c>
      <c r="W44" s="75"/>
      <c r="X44" s="63"/>
      <c r="Y44" s="75"/>
      <c r="Z44" s="69">
        <f t="shared" si="5"/>
        <v>0</v>
      </c>
      <c r="AA44" s="75"/>
      <c r="AB44" s="63"/>
      <c r="AC44" s="75"/>
      <c r="AD44" s="75"/>
      <c r="AE44" s="67">
        <f t="shared" si="11"/>
        <v>0</v>
      </c>
      <c r="AF44" s="65"/>
      <c r="AG44" s="63"/>
      <c r="AH44" s="75"/>
      <c r="AI44" s="75"/>
      <c r="AJ44" s="75"/>
      <c r="AK44" s="75"/>
      <c r="AL44" s="70">
        <f t="shared" si="7"/>
        <v>0</v>
      </c>
      <c r="AM44" s="371">
        <f t="shared" si="8"/>
        <v>0</v>
      </c>
    </row>
    <row r="45" ht="15.75" customHeight="1">
      <c r="A45" s="84">
        <v>38.0</v>
      </c>
      <c r="B45" s="163" t="s">
        <v>546</v>
      </c>
      <c r="C45" s="163" t="s">
        <v>44</v>
      </c>
      <c r="D45" s="441"/>
      <c r="E45" s="163"/>
      <c r="F45" s="372">
        <f t="shared" si="9"/>
        <v>0</v>
      </c>
      <c r="G45" s="163"/>
      <c r="H45" s="163"/>
      <c r="I45" s="373">
        <f t="shared" si="10"/>
        <v>0</v>
      </c>
      <c r="J45" s="163"/>
      <c r="K45" s="163"/>
      <c r="L45" s="163"/>
      <c r="M45" s="441"/>
      <c r="N45" s="164"/>
      <c r="O45" s="164"/>
      <c r="P45" s="163"/>
      <c r="Q45" s="374">
        <f t="shared" si="3"/>
        <v>0</v>
      </c>
      <c r="R45" s="441"/>
      <c r="S45" s="163"/>
      <c r="T45" s="164"/>
      <c r="U45" s="163"/>
      <c r="V45" s="166">
        <f t="shared" si="12"/>
        <v>0</v>
      </c>
      <c r="W45" s="163"/>
      <c r="X45" s="164"/>
      <c r="Y45" s="163"/>
      <c r="Z45" s="167">
        <f t="shared" si="5"/>
        <v>0</v>
      </c>
      <c r="AA45" s="163"/>
      <c r="AB45" s="164"/>
      <c r="AC45" s="163"/>
      <c r="AD45" s="163"/>
      <c r="AE45" s="377">
        <f t="shared" si="11"/>
        <v>0</v>
      </c>
      <c r="AF45" s="441"/>
      <c r="AG45" s="164"/>
      <c r="AH45" s="163"/>
      <c r="AI45" s="163"/>
      <c r="AJ45" s="163"/>
      <c r="AK45" s="163"/>
      <c r="AL45" s="168">
        <f t="shared" si="7"/>
        <v>0</v>
      </c>
      <c r="AM45" s="378">
        <v>0.0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6:B7"/>
    <mergeCell ref="C6:C7"/>
    <mergeCell ref="D6:F6"/>
    <mergeCell ref="G6:I6"/>
    <mergeCell ref="M6:Q6"/>
    <mergeCell ref="R6:V6"/>
    <mergeCell ref="W6:Z6"/>
    <mergeCell ref="AA6:AE6"/>
    <mergeCell ref="AF6:AL6"/>
    <mergeCell ref="AM6:AM7"/>
    <mergeCell ref="A1:AM1"/>
    <mergeCell ref="C3:P3"/>
    <mergeCell ref="Q3:U3"/>
    <mergeCell ref="V3:AE3"/>
    <mergeCell ref="C4:P4"/>
    <mergeCell ref="V4:AE4"/>
    <mergeCell ref="A6:A7"/>
  </mergeCells>
  <printOptions/>
  <pageMargins bottom="0.75" footer="0.0" header="0.0" left="0.7" right="0.7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49.0"/>
    <col customWidth="1" min="3" max="3" width="4.11"/>
    <col customWidth="1" min="4" max="5" width="4.0"/>
    <col customWidth="1" min="6" max="6" width="4.11"/>
    <col customWidth="1" min="7" max="7" width="4.33"/>
    <col customWidth="1" min="8" max="8" width="4.11"/>
    <col customWidth="1" min="9" max="9" width="4.0"/>
    <col customWidth="1" min="10" max="10" width="4.11"/>
    <col customWidth="1" min="11" max="11" width="4.33"/>
    <col customWidth="1" min="12" max="13" width="4.0"/>
    <col customWidth="1" min="14" max="14" width="4.33"/>
    <col customWidth="1" min="15" max="16" width="3.78"/>
    <col customWidth="1" min="17" max="18" width="4.0"/>
    <col customWidth="1" min="19" max="19" width="3.67"/>
    <col customWidth="1" min="20" max="20" width="4.33"/>
    <col customWidth="1" min="21" max="21" width="4.0"/>
    <col customWidth="1" min="22" max="22" width="4.11"/>
    <col customWidth="1" min="23" max="23" width="3.78"/>
    <col customWidth="1" min="24" max="24" width="4.11"/>
    <col customWidth="1" min="25" max="27" width="4.0"/>
    <col customWidth="1" min="28" max="28" width="4.11"/>
    <col customWidth="1" min="29" max="30" width="4.0"/>
    <col customWidth="1" min="31" max="32" width="3.78"/>
    <col customWidth="1" min="33" max="33" width="4.11"/>
    <col customWidth="1" min="34" max="34" width="4.0"/>
    <col customWidth="1" min="35" max="36" width="4.44"/>
    <col customWidth="1" min="37" max="37" width="4.33"/>
    <col customWidth="1" min="38" max="38" width="4.67"/>
    <col customWidth="1" min="39" max="39" width="5.33"/>
  </cols>
  <sheetData>
    <row r="1" ht="25.5" customHeight="1">
      <c r="A1" s="442" t="s">
        <v>442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4"/>
    </row>
    <row r="2" ht="15.75" customHeight="1">
      <c r="A2" s="44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M2" s="446"/>
    </row>
    <row r="3" ht="27.75" customHeight="1">
      <c r="A3" s="447"/>
      <c r="B3" s="9" t="s">
        <v>547</v>
      </c>
      <c r="C3" s="10" t="s">
        <v>2</v>
      </c>
      <c r="Q3" s="9" t="s">
        <v>310</v>
      </c>
      <c r="V3" s="11" t="s">
        <v>548</v>
      </c>
      <c r="AM3" s="446"/>
    </row>
    <row r="4" ht="25.5" customHeight="1">
      <c r="A4" s="448"/>
      <c r="B4" s="449" t="s">
        <v>549</v>
      </c>
      <c r="C4" s="450" t="s">
        <v>6</v>
      </c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49" t="s">
        <v>312</v>
      </c>
      <c r="R4" s="449"/>
      <c r="S4" s="449"/>
      <c r="T4" s="449"/>
      <c r="U4" s="449"/>
      <c r="V4" s="457" t="s">
        <v>550</v>
      </c>
      <c r="W4" s="451"/>
      <c r="X4" s="451"/>
      <c r="Y4" s="451"/>
      <c r="Z4" s="451"/>
      <c r="AA4" s="451"/>
      <c r="AB4" s="451"/>
      <c r="AC4" s="451"/>
      <c r="AD4" s="451"/>
      <c r="AE4" s="451"/>
      <c r="AF4" s="452"/>
      <c r="AG4" s="452"/>
      <c r="AH4" s="453"/>
      <c r="AI4" s="453"/>
      <c r="AJ4" s="453"/>
      <c r="AK4" s="453"/>
      <c r="AL4" s="453"/>
      <c r="AM4" s="454"/>
    </row>
    <row r="5" ht="15.75" customHeight="1">
      <c r="A5" s="19"/>
      <c r="B5" s="19"/>
      <c r="C5" s="19"/>
    </row>
    <row r="6" ht="15.75" customHeight="1">
      <c r="A6" s="176" t="s">
        <v>9</v>
      </c>
      <c r="B6" s="176" t="s">
        <v>10</v>
      </c>
      <c r="C6" s="412" t="s">
        <v>11</v>
      </c>
      <c r="D6" s="22" t="s">
        <v>12</v>
      </c>
      <c r="E6" s="23"/>
      <c r="F6" s="24"/>
      <c r="G6" s="330" t="s">
        <v>53</v>
      </c>
      <c r="H6" s="23"/>
      <c r="I6" s="24"/>
      <c r="J6" s="331" t="s">
        <v>131</v>
      </c>
      <c r="K6" s="413" t="s">
        <v>132</v>
      </c>
      <c r="L6" s="414" t="s">
        <v>133</v>
      </c>
      <c r="M6" s="415" t="s">
        <v>14</v>
      </c>
      <c r="N6" s="23"/>
      <c r="O6" s="23"/>
      <c r="P6" s="23"/>
      <c r="Q6" s="24"/>
      <c r="R6" s="26" t="s">
        <v>15</v>
      </c>
      <c r="S6" s="23"/>
      <c r="T6" s="23"/>
      <c r="U6" s="23"/>
      <c r="V6" s="24"/>
      <c r="W6" s="27" t="s">
        <v>16</v>
      </c>
      <c r="X6" s="23"/>
      <c r="Y6" s="23"/>
      <c r="Z6" s="24"/>
      <c r="AA6" s="25" t="s">
        <v>17</v>
      </c>
      <c r="AB6" s="23"/>
      <c r="AC6" s="23"/>
      <c r="AD6" s="23"/>
      <c r="AE6" s="24"/>
      <c r="AF6" s="28" t="s">
        <v>18</v>
      </c>
      <c r="AG6" s="23"/>
      <c r="AH6" s="23"/>
      <c r="AI6" s="23"/>
      <c r="AJ6" s="23"/>
      <c r="AK6" s="23"/>
      <c r="AL6" s="24"/>
      <c r="AM6" s="416" t="s">
        <v>19</v>
      </c>
    </row>
    <row r="7" ht="60.0" customHeight="1">
      <c r="A7" s="188"/>
      <c r="B7" s="188"/>
      <c r="C7" s="417"/>
      <c r="D7" s="217" t="s">
        <v>445</v>
      </c>
      <c r="E7" s="218" t="s">
        <v>446</v>
      </c>
      <c r="F7" s="219" t="s">
        <v>20</v>
      </c>
      <c r="G7" s="338" t="s">
        <v>445</v>
      </c>
      <c r="H7" s="339" t="s">
        <v>446</v>
      </c>
      <c r="I7" s="340" t="s">
        <v>20</v>
      </c>
      <c r="J7" s="341" t="s">
        <v>447</v>
      </c>
      <c r="K7" s="458" t="s">
        <v>448</v>
      </c>
      <c r="L7" s="459" t="s">
        <v>449</v>
      </c>
      <c r="M7" s="420" t="s">
        <v>450</v>
      </c>
      <c r="N7" s="421" t="s">
        <v>451</v>
      </c>
      <c r="O7" s="421" t="s">
        <v>452</v>
      </c>
      <c r="P7" s="421" t="s">
        <v>453</v>
      </c>
      <c r="Q7" s="422" t="s">
        <v>20</v>
      </c>
      <c r="R7" s="349" t="s">
        <v>454</v>
      </c>
      <c r="S7" s="350" t="s">
        <v>455</v>
      </c>
      <c r="T7" s="350" t="s">
        <v>456</v>
      </c>
      <c r="U7" s="350" t="s">
        <v>457</v>
      </c>
      <c r="V7" s="352" t="s">
        <v>20</v>
      </c>
      <c r="W7" s="423" t="s">
        <v>458</v>
      </c>
      <c r="X7" s="424" t="s">
        <v>459</v>
      </c>
      <c r="Y7" s="460" t="s">
        <v>460</v>
      </c>
      <c r="Z7" s="425" t="s">
        <v>20</v>
      </c>
      <c r="AA7" s="238" t="s">
        <v>461</v>
      </c>
      <c r="AB7" s="239" t="s">
        <v>462</v>
      </c>
      <c r="AC7" s="239" t="s">
        <v>463</v>
      </c>
      <c r="AD7" s="239" t="s">
        <v>464</v>
      </c>
      <c r="AE7" s="240" t="s">
        <v>20</v>
      </c>
      <c r="AF7" s="455" t="s">
        <v>465</v>
      </c>
      <c r="AG7" s="427" t="s">
        <v>466</v>
      </c>
      <c r="AH7" s="428" t="s">
        <v>467</v>
      </c>
      <c r="AI7" s="428" t="s">
        <v>468</v>
      </c>
      <c r="AJ7" s="428" t="s">
        <v>330</v>
      </c>
      <c r="AK7" s="428" t="s">
        <v>469</v>
      </c>
      <c r="AL7" s="358" t="s">
        <v>20</v>
      </c>
      <c r="AM7" s="429"/>
    </row>
    <row r="8" ht="15.75" customHeight="1">
      <c r="A8" s="59">
        <v>1.0</v>
      </c>
      <c r="B8" s="294" t="s">
        <v>551</v>
      </c>
      <c r="C8" s="155" t="s">
        <v>44</v>
      </c>
      <c r="D8" s="119">
        <v>3.0</v>
      </c>
      <c r="E8" s="77">
        <v>3.0</v>
      </c>
      <c r="F8" s="359">
        <f t="shared" ref="F8:F45" si="1">SUM(D8:E8)/2</f>
        <v>3</v>
      </c>
      <c r="G8" s="119">
        <v>3.0</v>
      </c>
      <c r="H8" s="119">
        <v>3.0</v>
      </c>
      <c r="I8" s="431">
        <f t="shared" ref="I8:I45" si="2">SUM(G8:H8)/2</f>
        <v>3</v>
      </c>
      <c r="J8" s="119">
        <v>5.0</v>
      </c>
      <c r="K8" s="119">
        <v>4.0</v>
      </c>
      <c r="L8" s="119">
        <v>5.0</v>
      </c>
      <c r="M8" s="119">
        <v>3.0</v>
      </c>
      <c r="N8" s="119">
        <v>5.0</v>
      </c>
      <c r="O8" s="119">
        <v>4.0</v>
      </c>
      <c r="P8" s="119">
        <v>4.0</v>
      </c>
      <c r="Q8" s="432">
        <f t="shared" ref="Q8:Q45" si="3">SUM(O8:P8)/2</f>
        <v>4</v>
      </c>
      <c r="R8" s="119">
        <v>3.0</v>
      </c>
      <c r="S8" s="119">
        <v>3.0</v>
      </c>
      <c r="T8" s="119">
        <v>4.0</v>
      </c>
      <c r="U8" s="119">
        <v>4.0</v>
      </c>
      <c r="V8" s="433">
        <f t="shared" ref="V8:V45" si="4">SUM(S8:U8)/3</f>
        <v>3.666666667</v>
      </c>
      <c r="W8" s="119">
        <v>3.0</v>
      </c>
      <c r="X8" s="119">
        <v>3.0</v>
      </c>
      <c r="Y8" s="119">
        <v>5.0</v>
      </c>
      <c r="Z8" s="434">
        <f t="shared" ref="Z8:Z45" si="5">SUM(W8:Y8)/3</f>
        <v>3.666666667</v>
      </c>
      <c r="AA8" s="119">
        <v>5.0</v>
      </c>
      <c r="AB8" s="119">
        <v>5.0</v>
      </c>
      <c r="AC8" s="119">
        <v>5.0</v>
      </c>
      <c r="AD8" s="119">
        <v>5.0</v>
      </c>
      <c r="AE8" s="435">
        <f t="shared" ref="AE8:AE45" si="6">SUM(AA8:AD8)/4</f>
        <v>5</v>
      </c>
      <c r="AF8" s="119">
        <v>3.0</v>
      </c>
      <c r="AG8" s="119">
        <v>3.0</v>
      </c>
      <c r="AH8" s="119">
        <v>3.0</v>
      </c>
      <c r="AI8" s="119">
        <v>3.0</v>
      </c>
      <c r="AJ8" s="119">
        <v>3.0</v>
      </c>
      <c r="AK8" s="119">
        <v>3.0</v>
      </c>
      <c r="AL8" s="436">
        <f t="shared" ref="AL8:AL45" si="7">SUM(AI8:AK8)/3</f>
        <v>3</v>
      </c>
      <c r="AM8" s="456">
        <f t="shared" ref="AM8:AM45" si="8">SUM(AL8,AH8,AC8,Y8,U8,R8,Q8,P8,O8,L8)/10</f>
        <v>4</v>
      </c>
    </row>
    <row r="9" ht="15.75" customHeight="1">
      <c r="A9" s="74">
        <v>2.0</v>
      </c>
      <c r="B9" s="304" t="s">
        <v>552</v>
      </c>
      <c r="C9" s="62" t="s">
        <v>45</v>
      </c>
      <c r="D9" s="119">
        <v>5.0</v>
      </c>
      <c r="E9" s="77">
        <v>5.0</v>
      </c>
      <c r="F9" s="296">
        <f t="shared" si="1"/>
        <v>5</v>
      </c>
      <c r="G9" s="119">
        <v>5.0</v>
      </c>
      <c r="H9" s="119">
        <v>5.0</v>
      </c>
      <c r="I9" s="85">
        <f t="shared" si="2"/>
        <v>5</v>
      </c>
      <c r="J9" s="119">
        <v>5.0</v>
      </c>
      <c r="K9" s="119">
        <v>4.0</v>
      </c>
      <c r="L9" s="119">
        <v>5.0</v>
      </c>
      <c r="M9" s="119">
        <v>5.0</v>
      </c>
      <c r="N9" s="119">
        <v>5.0</v>
      </c>
      <c r="O9" s="119">
        <v>4.0</v>
      </c>
      <c r="P9" s="119">
        <v>4.0</v>
      </c>
      <c r="Q9" s="365">
        <f t="shared" si="3"/>
        <v>4</v>
      </c>
      <c r="R9" s="119">
        <v>5.0</v>
      </c>
      <c r="S9" s="119">
        <v>5.0</v>
      </c>
      <c r="T9" s="119">
        <v>4.0</v>
      </c>
      <c r="U9" s="119">
        <v>4.0</v>
      </c>
      <c r="V9" s="68">
        <f t="shared" si="4"/>
        <v>4.333333333</v>
      </c>
      <c r="W9" s="119">
        <v>5.0</v>
      </c>
      <c r="X9" s="119">
        <v>5.0</v>
      </c>
      <c r="Y9" s="119">
        <v>5.0</v>
      </c>
      <c r="Z9" s="69">
        <f t="shared" si="5"/>
        <v>5</v>
      </c>
      <c r="AA9" s="119">
        <v>5.0</v>
      </c>
      <c r="AB9" s="119">
        <v>5.0</v>
      </c>
      <c r="AC9" s="119">
        <v>5.0</v>
      </c>
      <c r="AD9" s="119">
        <v>5.0</v>
      </c>
      <c r="AE9" s="67">
        <f t="shared" si="6"/>
        <v>5</v>
      </c>
      <c r="AF9" s="119">
        <v>5.0</v>
      </c>
      <c r="AG9" s="119">
        <v>5.0</v>
      </c>
      <c r="AH9" s="119">
        <v>3.0</v>
      </c>
      <c r="AI9" s="119">
        <v>5.0</v>
      </c>
      <c r="AJ9" s="119">
        <v>5.0</v>
      </c>
      <c r="AK9" s="119">
        <v>5.0</v>
      </c>
      <c r="AL9" s="70">
        <f t="shared" si="7"/>
        <v>5</v>
      </c>
      <c r="AM9" s="371">
        <f t="shared" si="8"/>
        <v>4.4</v>
      </c>
    </row>
    <row r="10" ht="15.75" customHeight="1">
      <c r="A10" s="74">
        <v>3.0</v>
      </c>
      <c r="B10" s="304" t="s">
        <v>553</v>
      </c>
      <c r="C10" s="62" t="s">
        <v>44</v>
      </c>
      <c r="D10" s="119">
        <v>5.0</v>
      </c>
      <c r="E10" s="77">
        <v>5.0</v>
      </c>
      <c r="F10" s="305">
        <f t="shared" si="1"/>
        <v>5</v>
      </c>
      <c r="G10" s="119">
        <v>5.0</v>
      </c>
      <c r="H10" s="119">
        <v>5.0</v>
      </c>
      <c r="I10" s="85">
        <f t="shared" si="2"/>
        <v>5</v>
      </c>
      <c r="J10" s="119">
        <v>5.0</v>
      </c>
      <c r="K10" s="119">
        <v>4.0</v>
      </c>
      <c r="L10" s="119">
        <v>5.0</v>
      </c>
      <c r="M10" s="119">
        <v>5.0</v>
      </c>
      <c r="N10" s="119">
        <v>5.0</v>
      </c>
      <c r="O10" s="119">
        <v>4.0</v>
      </c>
      <c r="P10" s="119">
        <v>4.0</v>
      </c>
      <c r="Q10" s="365">
        <f t="shared" si="3"/>
        <v>4</v>
      </c>
      <c r="R10" s="119">
        <v>5.0</v>
      </c>
      <c r="S10" s="119">
        <v>5.0</v>
      </c>
      <c r="T10" s="119">
        <v>4.0</v>
      </c>
      <c r="U10" s="119">
        <v>4.0</v>
      </c>
      <c r="V10" s="68">
        <f t="shared" si="4"/>
        <v>4.333333333</v>
      </c>
      <c r="W10" s="119">
        <v>5.0</v>
      </c>
      <c r="X10" s="119">
        <v>5.0</v>
      </c>
      <c r="Y10" s="119">
        <v>5.0</v>
      </c>
      <c r="Z10" s="69">
        <f t="shared" si="5"/>
        <v>5</v>
      </c>
      <c r="AA10" s="119">
        <v>5.0</v>
      </c>
      <c r="AB10" s="119">
        <v>5.0</v>
      </c>
      <c r="AC10" s="119">
        <v>5.0</v>
      </c>
      <c r="AD10" s="119">
        <v>5.0</v>
      </c>
      <c r="AE10" s="67">
        <f t="shared" si="6"/>
        <v>5</v>
      </c>
      <c r="AF10" s="119">
        <v>5.0</v>
      </c>
      <c r="AG10" s="119">
        <v>5.0</v>
      </c>
      <c r="AH10" s="119">
        <v>5.0</v>
      </c>
      <c r="AI10" s="119">
        <v>5.0</v>
      </c>
      <c r="AJ10" s="119">
        <v>5.0</v>
      </c>
      <c r="AK10" s="119">
        <v>4.0</v>
      </c>
      <c r="AL10" s="70">
        <f t="shared" si="7"/>
        <v>4.666666667</v>
      </c>
      <c r="AM10" s="371">
        <f t="shared" si="8"/>
        <v>4.566666667</v>
      </c>
    </row>
    <row r="11" ht="15.75" customHeight="1">
      <c r="A11" s="74">
        <v>4.0</v>
      </c>
      <c r="B11" s="304" t="s">
        <v>554</v>
      </c>
      <c r="C11" s="62" t="s">
        <v>45</v>
      </c>
      <c r="D11" s="119">
        <v>5.0</v>
      </c>
      <c r="E11" s="77">
        <v>5.0</v>
      </c>
      <c r="F11" s="305">
        <f t="shared" si="1"/>
        <v>5</v>
      </c>
      <c r="G11" s="119">
        <v>5.0</v>
      </c>
      <c r="H11" s="119">
        <v>5.0</v>
      </c>
      <c r="I11" s="85">
        <f t="shared" si="2"/>
        <v>5</v>
      </c>
      <c r="J11" s="119">
        <v>5.0</v>
      </c>
      <c r="K11" s="119">
        <v>4.0</v>
      </c>
      <c r="L11" s="119">
        <v>5.0</v>
      </c>
      <c r="M11" s="119">
        <v>5.0</v>
      </c>
      <c r="N11" s="119">
        <v>5.0</v>
      </c>
      <c r="O11" s="119">
        <v>4.0</v>
      </c>
      <c r="P11" s="119">
        <v>4.0</v>
      </c>
      <c r="Q11" s="365">
        <f t="shared" si="3"/>
        <v>4</v>
      </c>
      <c r="R11" s="119">
        <v>5.0</v>
      </c>
      <c r="S11" s="119">
        <v>5.0</v>
      </c>
      <c r="T11" s="119">
        <v>4.0</v>
      </c>
      <c r="U11" s="119">
        <v>4.0</v>
      </c>
      <c r="V11" s="68">
        <f t="shared" si="4"/>
        <v>4.333333333</v>
      </c>
      <c r="W11" s="119">
        <v>5.0</v>
      </c>
      <c r="X11" s="119">
        <v>5.0</v>
      </c>
      <c r="Y11" s="119">
        <v>5.0</v>
      </c>
      <c r="Z11" s="69">
        <f t="shared" si="5"/>
        <v>5</v>
      </c>
      <c r="AA11" s="119">
        <v>5.0</v>
      </c>
      <c r="AB11" s="119">
        <v>5.0</v>
      </c>
      <c r="AC11" s="119">
        <v>5.0</v>
      </c>
      <c r="AD11" s="119">
        <v>5.0</v>
      </c>
      <c r="AE11" s="67">
        <f t="shared" si="6"/>
        <v>5</v>
      </c>
      <c r="AF11" s="119">
        <v>5.0</v>
      </c>
      <c r="AG11" s="119">
        <v>5.0</v>
      </c>
      <c r="AH11" s="119">
        <v>3.0</v>
      </c>
      <c r="AI11" s="119">
        <v>3.0</v>
      </c>
      <c r="AJ11" s="119">
        <v>3.0</v>
      </c>
      <c r="AK11" s="119">
        <v>3.0</v>
      </c>
      <c r="AL11" s="70">
        <f t="shared" si="7"/>
        <v>3</v>
      </c>
      <c r="AM11" s="371">
        <f t="shared" si="8"/>
        <v>4.2</v>
      </c>
    </row>
    <row r="12" ht="15.75" customHeight="1">
      <c r="A12" s="74">
        <v>5.0</v>
      </c>
      <c r="B12" s="304" t="s">
        <v>555</v>
      </c>
      <c r="C12" s="62" t="s">
        <v>45</v>
      </c>
      <c r="D12" s="119">
        <v>5.0</v>
      </c>
      <c r="E12" s="77">
        <v>5.0</v>
      </c>
      <c r="F12" s="305">
        <f t="shared" si="1"/>
        <v>5</v>
      </c>
      <c r="G12" s="119">
        <v>5.0</v>
      </c>
      <c r="H12" s="119">
        <v>5.0</v>
      </c>
      <c r="I12" s="85">
        <f t="shared" si="2"/>
        <v>5</v>
      </c>
      <c r="J12" s="119">
        <v>5.0</v>
      </c>
      <c r="K12" s="119">
        <v>4.0</v>
      </c>
      <c r="L12" s="119">
        <v>5.0</v>
      </c>
      <c r="M12" s="119">
        <v>5.0</v>
      </c>
      <c r="N12" s="119">
        <v>5.0</v>
      </c>
      <c r="O12" s="119">
        <v>4.0</v>
      </c>
      <c r="P12" s="119">
        <v>4.0</v>
      </c>
      <c r="Q12" s="365">
        <f t="shared" si="3"/>
        <v>4</v>
      </c>
      <c r="R12" s="119">
        <v>5.0</v>
      </c>
      <c r="S12" s="119">
        <v>5.0</v>
      </c>
      <c r="T12" s="119">
        <v>4.0</v>
      </c>
      <c r="U12" s="119">
        <v>4.0</v>
      </c>
      <c r="V12" s="68">
        <f t="shared" si="4"/>
        <v>4.333333333</v>
      </c>
      <c r="W12" s="119">
        <v>5.0</v>
      </c>
      <c r="X12" s="119">
        <v>5.0</v>
      </c>
      <c r="Y12" s="119">
        <v>5.0</v>
      </c>
      <c r="Z12" s="69">
        <f t="shared" si="5"/>
        <v>5</v>
      </c>
      <c r="AA12" s="119">
        <v>5.0</v>
      </c>
      <c r="AB12" s="119">
        <v>5.0</v>
      </c>
      <c r="AC12" s="119">
        <v>5.0</v>
      </c>
      <c r="AD12" s="119">
        <v>5.0</v>
      </c>
      <c r="AE12" s="67">
        <f t="shared" si="6"/>
        <v>5</v>
      </c>
      <c r="AF12" s="119">
        <v>5.0</v>
      </c>
      <c r="AG12" s="119">
        <v>5.0</v>
      </c>
      <c r="AH12" s="119">
        <v>3.0</v>
      </c>
      <c r="AI12" s="119">
        <v>4.0</v>
      </c>
      <c r="AJ12" s="119">
        <v>5.0</v>
      </c>
      <c r="AK12" s="119">
        <v>5.0</v>
      </c>
      <c r="AL12" s="70">
        <f t="shared" si="7"/>
        <v>4.666666667</v>
      </c>
      <c r="AM12" s="371">
        <f t="shared" si="8"/>
        <v>4.366666667</v>
      </c>
    </row>
    <row r="13" ht="16.5" customHeight="1">
      <c r="A13" s="74">
        <v>6.0</v>
      </c>
      <c r="B13" s="304" t="s">
        <v>556</v>
      </c>
      <c r="C13" s="62" t="s">
        <v>45</v>
      </c>
      <c r="D13" s="119">
        <v>5.0</v>
      </c>
      <c r="E13" s="77">
        <v>5.0</v>
      </c>
      <c r="F13" s="305">
        <f t="shared" si="1"/>
        <v>5</v>
      </c>
      <c r="G13" s="119">
        <v>5.0</v>
      </c>
      <c r="H13" s="119">
        <v>5.0</v>
      </c>
      <c r="I13" s="85">
        <f t="shared" si="2"/>
        <v>5</v>
      </c>
      <c r="J13" s="119">
        <v>5.0</v>
      </c>
      <c r="K13" s="119">
        <v>4.0</v>
      </c>
      <c r="L13" s="119">
        <v>5.0</v>
      </c>
      <c r="M13" s="119">
        <v>5.0</v>
      </c>
      <c r="N13" s="119">
        <v>5.0</v>
      </c>
      <c r="O13" s="119">
        <v>4.0</v>
      </c>
      <c r="P13" s="119">
        <v>4.0</v>
      </c>
      <c r="Q13" s="365">
        <f t="shared" si="3"/>
        <v>4</v>
      </c>
      <c r="R13" s="119">
        <v>5.0</v>
      </c>
      <c r="S13" s="119">
        <v>5.0</v>
      </c>
      <c r="T13" s="119">
        <v>4.0</v>
      </c>
      <c r="U13" s="119">
        <v>4.0</v>
      </c>
      <c r="V13" s="68">
        <f t="shared" si="4"/>
        <v>4.333333333</v>
      </c>
      <c r="W13" s="119">
        <v>5.0</v>
      </c>
      <c r="X13" s="119">
        <v>5.0</v>
      </c>
      <c r="Y13" s="119">
        <v>5.0</v>
      </c>
      <c r="Z13" s="69">
        <f t="shared" si="5"/>
        <v>5</v>
      </c>
      <c r="AA13" s="119">
        <v>5.0</v>
      </c>
      <c r="AB13" s="119">
        <v>5.0</v>
      </c>
      <c r="AC13" s="119">
        <v>5.0</v>
      </c>
      <c r="AD13" s="119">
        <v>5.0</v>
      </c>
      <c r="AE13" s="67">
        <f t="shared" si="6"/>
        <v>5</v>
      </c>
      <c r="AF13" s="119">
        <v>5.0</v>
      </c>
      <c r="AG13" s="119">
        <v>5.0</v>
      </c>
      <c r="AH13" s="119">
        <v>3.0</v>
      </c>
      <c r="AI13" s="119">
        <v>3.0</v>
      </c>
      <c r="AJ13" s="119">
        <v>3.0</v>
      </c>
      <c r="AK13" s="119">
        <v>3.0</v>
      </c>
      <c r="AL13" s="70">
        <f t="shared" si="7"/>
        <v>3</v>
      </c>
      <c r="AM13" s="371">
        <f t="shared" si="8"/>
        <v>4.2</v>
      </c>
    </row>
    <row r="14" ht="15.75" customHeight="1">
      <c r="A14" s="74">
        <v>7.0</v>
      </c>
      <c r="B14" s="304" t="s">
        <v>557</v>
      </c>
      <c r="C14" s="62" t="s">
        <v>44</v>
      </c>
      <c r="D14" s="119">
        <v>6.0</v>
      </c>
      <c r="E14" s="77">
        <v>6.0</v>
      </c>
      <c r="F14" s="305">
        <f t="shared" si="1"/>
        <v>6</v>
      </c>
      <c r="G14" s="119">
        <v>6.0</v>
      </c>
      <c r="H14" s="119">
        <v>6.0</v>
      </c>
      <c r="I14" s="85">
        <f t="shared" si="2"/>
        <v>6</v>
      </c>
      <c r="J14" s="119">
        <v>5.0</v>
      </c>
      <c r="K14" s="119">
        <v>4.0</v>
      </c>
      <c r="L14" s="119">
        <v>5.0</v>
      </c>
      <c r="M14" s="119">
        <v>5.0</v>
      </c>
      <c r="N14" s="119">
        <v>5.0</v>
      </c>
      <c r="O14" s="119">
        <v>6.0</v>
      </c>
      <c r="P14" s="119">
        <v>6.0</v>
      </c>
      <c r="Q14" s="365">
        <f t="shared" si="3"/>
        <v>6</v>
      </c>
      <c r="R14" s="119">
        <v>5.0</v>
      </c>
      <c r="S14" s="119">
        <v>5.0</v>
      </c>
      <c r="T14" s="119">
        <v>6.0</v>
      </c>
      <c r="U14" s="119">
        <v>6.0</v>
      </c>
      <c r="V14" s="68">
        <f t="shared" si="4"/>
        <v>5.666666667</v>
      </c>
      <c r="W14" s="119">
        <v>5.0</v>
      </c>
      <c r="X14" s="119">
        <v>6.0</v>
      </c>
      <c r="Y14" s="119">
        <v>6.0</v>
      </c>
      <c r="Z14" s="69">
        <f t="shared" si="5"/>
        <v>5.666666667</v>
      </c>
      <c r="AA14" s="119">
        <v>6.0</v>
      </c>
      <c r="AB14" s="119">
        <v>6.0</v>
      </c>
      <c r="AC14" s="119">
        <v>6.0</v>
      </c>
      <c r="AD14" s="119">
        <v>6.0</v>
      </c>
      <c r="AE14" s="67">
        <f t="shared" si="6"/>
        <v>6</v>
      </c>
      <c r="AF14" s="119">
        <v>6.0</v>
      </c>
      <c r="AG14" s="119">
        <v>6.0</v>
      </c>
      <c r="AH14" s="119">
        <v>6.0</v>
      </c>
      <c r="AI14" s="119">
        <v>6.0</v>
      </c>
      <c r="AJ14" s="119">
        <v>6.0</v>
      </c>
      <c r="AK14" s="119">
        <v>6.0</v>
      </c>
      <c r="AL14" s="70">
        <f t="shared" si="7"/>
        <v>6</v>
      </c>
      <c r="AM14" s="371">
        <f t="shared" si="8"/>
        <v>5.8</v>
      </c>
    </row>
    <row r="15" ht="15.75" customHeight="1">
      <c r="A15" s="74">
        <v>8.0</v>
      </c>
      <c r="B15" s="304" t="s">
        <v>558</v>
      </c>
      <c r="C15" s="62" t="s">
        <v>45</v>
      </c>
      <c r="D15" s="119">
        <v>4.0</v>
      </c>
      <c r="E15" s="77">
        <v>4.0</v>
      </c>
      <c r="F15" s="305">
        <f t="shared" si="1"/>
        <v>4</v>
      </c>
      <c r="G15" s="119">
        <v>4.0</v>
      </c>
      <c r="H15" s="119">
        <v>4.0</v>
      </c>
      <c r="I15" s="85">
        <f t="shared" si="2"/>
        <v>4</v>
      </c>
      <c r="J15" s="119">
        <v>5.0</v>
      </c>
      <c r="K15" s="119">
        <v>4.0</v>
      </c>
      <c r="L15" s="119">
        <v>5.0</v>
      </c>
      <c r="M15" s="119">
        <v>4.0</v>
      </c>
      <c r="N15" s="119">
        <v>5.0</v>
      </c>
      <c r="O15" s="119">
        <v>4.0</v>
      </c>
      <c r="P15" s="119">
        <v>4.0</v>
      </c>
      <c r="Q15" s="365">
        <f t="shared" si="3"/>
        <v>4</v>
      </c>
      <c r="R15" s="119">
        <v>4.0</v>
      </c>
      <c r="S15" s="119">
        <v>4.0</v>
      </c>
      <c r="T15" s="119">
        <v>4.0</v>
      </c>
      <c r="U15" s="119">
        <v>4.0</v>
      </c>
      <c r="V15" s="68">
        <f t="shared" si="4"/>
        <v>4</v>
      </c>
      <c r="W15" s="119">
        <v>4.0</v>
      </c>
      <c r="X15" s="119">
        <v>4.0</v>
      </c>
      <c r="Y15" s="119">
        <v>5.0</v>
      </c>
      <c r="Z15" s="69">
        <f t="shared" si="5"/>
        <v>4.333333333</v>
      </c>
      <c r="AA15" s="119">
        <v>5.0</v>
      </c>
      <c r="AB15" s="119">
        <v>5.0</v>
      </c>
      <c r="AC15" s="119">
        <v>5.0</v>
      </c>
      <c r="AD15" s="119">
        <v>5.0</v>
      </c>
      <c r="AE15" s="67">
        <f t="shared" si="6"/>
        <v>5</v>
      </c>
      <c r="AF15" s="119">
        <v>4.0</v>
      </c>
      <c r="AG15" s="119">
        <v>4.0</v>
      </c>
      <c r="AH15" s="119">
        <v>4.0</v>
      </c>
      <c r="AI15" s="119">
        <v>4.0</v>
      </c>
      <c r="AJ15" s="119">
        <v>4.0</v>
      </c>
      <c r="AK15" s="119">
        <v>3.0</v>
      </c>
      <c r="AL15" s="70">
        <f t="shared" si="7"/>
        <v>3.666666667</v>
      </c>
      <c r="AM15" s="371">
        <f t="shared" si="8"/>
        <v>4.266666667</v>
      </c>
    </row>
    <row r="16" ht="15.75" customHeight="1">
      <c r="A16" s="74">
        <v>9.0</v>
      </c>
      <c r="B16" s="304" t="s">
        <v>559</v>
      </c>
      <c r="C16" s="62" t="s">
        <v>44</v>
      </c>
      <c r="D16" s="119">
        <v>3.0</v>
      </c>
      <c r="E16" s="77">
        <v>3.0</v>
      </c>
      <c r="F16" s="305">
        <f t="shared" si="1"/>
        <v>3</v>
      </c>
      <c r="G16" s="119">
        <v>3.0</v>
      </c>
      <c r="H16" s="119">
        <v>3.0</v>
      </c>
      <c r="I16" s="85">
        <f t="shared" si="2"/>
        <v>3</v>
      </c>
      <c r="J16" s="119">
        <v>5.0</v>
      </c>
      <c r="K16" s="119">
        <v>4.0</v>
      </c>
      <c r="L16" s="119">
        <v>5.0</v>
      </c>
      <c r="M16" s="119">
        <v>3.0</v>
      </c>
      <c r="N16" s="119">
        <v>5.0</v>
      </c>
      <c r="O16" s="119">
        <v>4.0</v>
      </c>
      <c r="P16" s="119">
        <v>4.0</v>
      </c>
      <c r="Q16" s="365">
        <f t="shared" si="3"/>
        <v>4</v>
      </c>
      <c r="R16" s="119">
        <v>3.0</v>
      </c>
      <c r="S16" s="119">
        <v>3.0</v>
      </c>
      <c r="T16" s="119">
        <v>4.0</v>
      </c>
      <c r="U16" s="119">
        <v>4.0</v>
      </c>
      <c r="V16" s="68">
        <f t="shared" si="4"/>
        <v>3.666666667</v>
      </c>
      <c r="W16" s="119">
        <v>3.0</v>
      </c>
      <c r="X16" s="119">
        <v>3.0</v>
      </c>
      <c r="Y16" s="119">
        <v>5.0</v>
      </c>
      <c r="Z16" s="69">
        <f t="shared" si="5"/>
        <v>3.666666667</v>
      </c>
      <c r="AA16" s="119">
        <v>5.0</v>
      </c>
      <c r="AB16" s="119">
        <v>5.0</v>
      </c>
      <c r="AC16" s="119">
        <v>5.0</v>
      </c>
      <c r="AD16" s="119">
        <v>5.0</v>
      </c>
      <c r="AE16" s="67">
        <f t="shared" si="6"/>
        <v>5</v>
      </c>
      <c r="AF16" s="119">
        <v>3.0</v>
      </c>
      <c r="AG16" s="119">
        <v>3.0</v>
      </c>
      <c r="AH16" s="119">
        <v>3.0</v>
      </c>
      <c r="AI16" s="119">
        <v>3.0</v>
      </c>
      <c r="AJ16" s="119">
        <v>3.0</v>
      </c>
      <c r="AK16" s="119">
        <v>3.0</v>
      </c>
      <c r="AL16" s="70">
        <f t="shared" si="7"/>
        <v>3</v>
      </c>
      <c r="AM16" s="371">
        <f t="shared" si="8"/>
        <v>4</v>
      </c>
    </row>
    <row r="17" ht="15.75" customHeight="1">
      <c r="A17" s="74">
        <v>10.0</v>
      </c>
      <c r="B17" s="304" t="s">
        <v>560</v>
      </c>
      <c r="C17" s="62" t="s">
        <v>44</v>
      </c>
      <c r="D17" s="119">
        <v>4.0</v>
      </c>
      <c r="E17" s="77">
        <v>4.0</v>
      </c>
      <c r="F17" s="305">
        <f t="shared" si="1"/>
        <v>4</v>
      </c>
      <c r="G17" s="119">
        <v>4.0</v>
      </c>
      <c r="H17" s="119">
        <v>4.0</v>
      </c>
      <c r="I17" s="85">
        <f t="shared" si="2"/>
        <v>4</v>
      </c>
      <c r="J17" s="119">
        <v>5.0</v>
      </c>
      <c r="K17" s="119">
        <v>4.0</v>
      </c>
      <c r="L17" s="119">
        <v>5.0</v>
      </c>
      <c r="M17" s="119">
        <v>4.0</v>
      </c>
      <c r="N17" s="119">
        <v>5.0</v>
      </c>
      <c r="O17" s="119">
        <v>4.0</v>
      </c>
      <c r="P17" s="119">
        <v>4.0</v>
      </c>
      <c r="Q17" s="365">
        <f t="shared" si="3"/>
        <v>4</v>
      </c>
      <c r="R17" s="119">
        <v>4.0</v>
      </c>
      <c r="S17" s="119">
        <v>4.0</v>
      </c>
      <c r="T17" s="119">
        <v>4.0</v>
      </c>
      <c r="U17" s="119">
        <v>4.0</v>
      </c>
      <c r="V17" s="68">
        <f t="shared" si="4"/>
        <v>4</v>
      </c>
      <c r="W17" s="119">
        <v>4.0</v>
      </c>
      <c r="X17" s="119">
        <v>4.0</v>
      </c>
      <c r="Y17" s="119">
        <v>5.0</v>
      </c>
      <c r="Z17" s="69">
        <f t="shared" si="5"/>
        <v>4.333333333</v>
      </c>
      <c r="AA17" s="119">
        <v>5.0</v>
      </c>
      <c r="AB17" s="119">
        <v>5.0</v>
      </c>
      <c r="AC17" s="119">
        <v>5.0</v>
      </c>
      <c r="AD17" s="119">
        <v>5.0</v>
      </c>
      <c r="AE17" s="67">
        <f t="shared" si="6"/>
        <v>5</v>
      </c>
      <c r="AF17" s="119">
        <v>4.0</v>
      </c>
      <c r="AG17" s="119">
        <v>4.0</v>
      </c>
      <c r="AH17" s="119">
        <v>3.0</v>
      </c>
      <c r="AI17" s="119">
        <v>3.0</v>
      </c>
      <c r="AJ17" s="119">
        <v>3.0</v>
      </c>
      <c r="AK17" s="119">
        <v>3.0</v>
      </c>
      <c r="AL17" s="70">
        <f t="shared" si="7"/>
        <v>3</v>
      </c>
      <c r="AM17" s="371">
        <f t="shared" si="8"/>
        <v>4.1</v>
      </c>
    </row>
    <row r="18" ht="15.75" customHeight="1">
      <c r="A18" s="74">
        <v>11.0</v>
      </c>
      <c r="B18" s="304" t="s">
        <v>561</v>
      </c>
      <c r="C18" s="62" t="s">
        <v>44</v>
      </c>
      <c r="D18" s="119">
        <v>3.0</v>
      </c>
      <c r="E18" s="77">
        <v>3.0</v>
      </c>
      <c r="F18" s="305">
        <f t="shared" si="1"/>
        <v>3</v>
      </c>
      <c r="G18" s="119">
        <v>3.0</v>
      </c>
      <c r="H18" s="119">
        <v>3.0</v>
      </c>
      <c r="I18" s="85">
        <f t="shared" si="2"/>
        <v>3</v>
      </c>
      <c r="J18" s="119">
        <v>5.0</v>
      </c>
      <c r="K18" s="119">
        <v>4.0</v>
      </c>
      <c r="L18" s="119">
        <v>5.0</v>
      </c>
      <c r="M18" s="119">
        <v>3.0</v>
      </c>
      <c r="N18" s="119">
        <v>5.0</v>
      </c>
      <c r="O18" s="119">
        <v>4.0</v>
      </c>
      <c r="P18" s="119">
        <v>4.0</v>
      </c>
      <c r="Q18" s="365">
        <f t="shared" si="3"/>
        <v>4</v>
      </c>
      <c r="R18" s="119">
        <v>3.0</v>
      </c>
      <c r="S18" s="119">
        <v>3.0</v>
      </c>
      <c r="T18" s="119">
        <v>4.0</v>
      </c>
      <c r="U18" s="119">
        <v>4.0</v>
      </c>
      <c r="V18" s="68">
        <f t="shared" si="4"/>
        <v>3.666666667</v>
      </c>
      <c r="W18" s="119">
        <v>3.0</v>
      </c>
      <c r="X18" s="119">
        <v>3.0</v>
      </c>
      <c r="Y18" s="119">
        <v>5.0</v>
      </c>
      <c r="Z18" s="69">
        <f t="shared" si="5"/>
        <v>3.666666667</v>
      </c>
      <c r="AA18" s="119">
        <v>5.0</v>
      </c>
      <c r="AB18" s="119">
        <v>5.0</v>
      </c>
      <c r="AC18" s="119">
        <v>5.0</v>
      </c>
      <c r="AD18" s="119">
        <v>5.0</v>
      </c>
      <c r="AE18" s="67">
        <f t="shared" si="6"/>
        <v>5</v>
      </c>
      <c r="AF18" s="119">
        <v>3.0</v>
      </c>
      <c r="AG18" s="119">
        <v>3.0</v>
      </c>
      <c r="AH18" s="119">
        <v>3.0</v>
      </c>
      <c r="AI18" s="119">
        <v>3.0</v>
      </c>
      <c r="AJ18" s="119">
        <v>3.0</v>
      </c>
      <c r="AK18" s="119">
        <v>3.0</v>
      </c>
      <c r="AL18" s="70">
        <f t="shared" si="7"/>
        <v>3</v>
      </c>
      <c r="AM18" s="371">
        <f t="shared" si="8"/>
        <v>4</v>
      </c>
    </row>
    <row r="19" ht="15.75" customHeight="1">
      <c r="A19" s="74">
        <v>12.0</v>
      </c>
      <c r="B19" s="304" t="s">
        <v>562</v>
      </c>
      <c r="C19" s="62" t="s">
        <v>44</v>
      </c>
      <c r="D19" s="119">
        <v>6.0</v>
      </c>
      <c r="E19" s="77">
        <v>6.0</v>
      </c>
      <c r="F19" s="305">
        <f t="shared" si="1"/>
        <v>6</v>
      </c>
      <c r="G19" s="119">
        <v>6.0</v>
      </c>
      <c r="H19" s="119">
        <v>6.0</v>
      </c>
      <c r="I19" s="85">
        <f t="shared" si="2"/>
        <v>6</v>
      </c>
      <c r="J19" s="119">
        <v>6.0</v>
      </c>
      <c r="K19" s="119">
        <v>6.0</v>
      </c>
      <c r="L19" s="119">
        <v>5.0</v>
      </c>
      <c r="M19" s="119">
        <v>6.0</v>
      </c>
      <c r="N19" s="119">
        <v>6.0</v>
      </c>
      <c r="O19" s="119">
        <v>5.0</v>
      </c>
      <c r="P19" s="119">
        <v>5.0</v>
      </c>
      <c r="Q19" s="365">
        <f t="shared" si="3"/>
        <v>5</v>
      </c>
      <c r="R19" s="119">
        <v>5.0</v>
      </c>
      <c r="S19" s="119">
        <v>6.0</v>
      </c>
      <c r="T19" s="119">
        <v>6.0</v>
      </c>
      <c r="U19" s="119">
        <v>5.0</v>
      </c>
      <c r="V19" s="68">
        <f t="shared" si="4"/>
        <v>5.666666667</v>
      </c>
      <c r="W19" s="119">
        <v>5.0</v>
      </c>
      <c r="X19" s="119">
        <v>5.0</v>
      </c>
      <c r="Y19" s="119">
        <v>5.0</v>
      </c>
      <c r="Z19" s="69">
        <f t="shared" si="5"/>
        <v>5</v>
      </c>
      <c r="AA19" s="119">
        <v>6.0</v>
      </c>
      <c r="AB19" s="119">
        <v>5.0</v>
      </c>
      <c r="AC19" s="119">
        <v>6.0</v>
      </c>
      <c r="AD19" s="119">
        <v>5.0</v>
      </c>
      <c r="AE19" s="67">
        <f t="shared" si="6"/>
        <v>5.5</v>
      </c>
      <c r="AF19" s="119">
        <v>6.0</v>
      </c>
      <c r="AG19" s="119">
        <v>6.0</v>
      </c>
      <c r="AH19" s="119">
        <v>6.0</v>
      </c>
      <c r="AI19" s="119">
        <v>6.0</v>
      </c>
      <c r="AJ19" s="119">
        <v>6.0</v>
      </c>
      <c r="AK19" s="119">
        <v>6.0</v>
      </c>
      <c r="AL19" s="70">
        <f t="shared" si="7"/>
        <v>6</v>
      </c>
      <c r="AM19" s="371">
        <f t="shared" si="8"/>
        <v>5.3</v>
      </c>
    </row>
    <row r="20" ht="15.75" customHeight="1">
      <c r="A20" s="74">
        <v>13.0</v>
      </c>
      <c r="B20" s="304" t="s">
        <v>563</v>
      </c>
      <c r="C20" s="62" t="s">
        <v>44</v>
      </c>
      <c r="D20" s="119">
        <v>5.0</v>
      </c>
      <c r="E20" s="77">
        <v>5.0</v>
      </c>
      <c r="F20" s="305">
        <f t="shared" si="1"/>
        <v>5</v>
      </c>
      <c r="G20" s="119">
        <v>5.0</v>
      </c>
      <c r="H20" s="119">
        <v>5.0</v>
      </c>
      <c r="I20" s="85">
        <f t="shared" si="2"/>
        <v>5</v>
      </c>
      <c r="J20" s="119">
        <v>5.0</v>
      </c>
      <c r="K20" s="119">
        <v>4.0</v>
      </c>
      <c r="L20" s="119">
        <v>5.0</v>
      </c>
      <c r="M20" s="119">
        <v>5.0</v>
      </c>
      <c r="N20" s="119">
        <v>5.0</v>
      </c>
      <c r="O20" s="119">
        <v>4.0</v>
      </c>
      <c r="P20" s="119">
        <v>4.0</v>
      </c>
      <c r="Q20" s="365">
        <f t="shared" si="3"/>
        <v>4</v>
      </c>
      <c r="R20" s="119">
        <v>5.0</v>
      </c>
      <c r="S20" s="119">
        <v>5.0</v>
      </c>
      <c r="T20" s="119">
        <v>4.0</v>
      </c>
      <c r="U20" s="119">
        <v>4.0</v>
      </c>
      <c r="V20" s="68">
        <f t="shared" si="4"/>
        <v>4.333333333</v>
      </c>
      <c r="W20" s="119">
        <v>5.0</v>
      </c>
      <c r="X20" s="119">
        <v>5.0</v>
      </c>
      <c r="Y20" s="119">
        <v>5.0</v>
      </c>
      <c r="Z20" s="69">
        <f t="shared" si="5"/>
        <v>5</v>
      </c>
      <c r="AA20" s="119">
        <v>5.0</v>
      </c>
      <c r="AB20" s="119">
        <v>5.0</v>
      </c>
      <c r="AC20" s="119">
        <v>5.0</v>
      </c>
      <c r="AD20" s="119">
        <v>5.0</v>
      </c>
      <c r="AE20" s="67">
        <f t="shared" si="6"/>
        <v>5</v>
      </c>
      <c r="AF20" s="119">
        <v>5.0</v>
      </c>
      <c r="AG20" s="119">
        <v>5.0</v>
      </c>
      <c r="AH20" s="119">
        <v>4.0</v>
      </c>
      <c r="AI20" s="119">
        <v>5.0</v>
      </c>
      <c r="AJ20" s="119">
        <v>5.0</v>
      </c>
      <c r="AK20" s="119">
        <v>4.0</v>
      </c>
      <c r="AL20" s="70">
        <f t="shared" si="7"/>
        <v>4.666666667</v>
      </c>
      <c r="AM20" s="371">
        <f t="shared" si="8"/>
        <v>4.466666667</v>
      </c>
    </row>
    <row r="21" ht="15.75" customHeight="1">
      <c r="A21" s="74">
        <v>14.0</v>
      </c>
      <c r="B21" s="304" t="s">
        <v>564</v>
      </c>
      <c r="C21" s="62" t="s">
        <v>44</v>
      </c>
      <c r="D21" s="119"/>
      <c r="E21" s="81"/>
      <c r="F21" s="305">
        <f t="shared" si="1"/>
        <v>0</v>
      </c>
      <c r="G21" s="119"/>
      <c r="H21" s="119"/>
      <c r="I21" s="85">
        <f t="shared" si="2"/>
        <v>0</v>
      </c>
      <c r="J21" s="62"/>
      <c r="K21" s="62"/>
      <c r="L21" s="62"/>
      <c r="M21" s="119"/>
      <c r="N21" s="62"/>
      <c r="O21" s="63"/>
      <c r="P21" s="62"/>
      <c r="Q21" s="365">
        <f t="shared" si="3"/>
        <v>0</v>
      </c>
      <c r="R21" s="119"/>
      <c r="S21" s="119"/>
      <c r="T21" s="121"/>
      <c r="U21" s="119"/>
      <c r="V21" s="68">
        <f t="shared" si="4"/>
        <v>0</v>
      </c>
      <c r="W21" s="119"/>
      <c r="X21" s="119"/>
      <c r="Y21" s="121"/>
      <c r="Z21" s="69">
        <f t="shared" si="5"/>
        <v>0</v>
      </c>
      <c r="AA21" s="62"/>
      <c r="AB21" s="62"/>
      <c r="AC21" s="250"/>
      <c r="AD21" s="250"/>
      <c r="AE21" s="67">
        <f t="shared" si="6"/>
        <v>0</v>
      </c>
      <c r="AF21" s="119"/>
      <c r="AG21" s="119"/>
      <c r="AH21" s="316"/>
      <c r="AI21" s="316"/>
      <c r="AJ21" s="302"/>
      <c r="AK21" s="121"/>
      <c r="AL21" s="70">
        <f t="shared" si="7"/>
        <v>0</v>
      </c>
      <c r="AM21" s="371">
        <f t="shared" si="8"/>
        <v>0</v>
      </c>
    </row>
    <row r="22" ht="15.75" customHeight="1">
      <c r="A22" s="74">
        <v>15.0</v>
      </c>
      <c r="B22" s="304" t="s">
        <v>565</v>
      </c>
      <c r="C22" s="62" t="s">
        <v>44</v>
      </c>
      <c r="D22" s="119">
        <v>6.0</v>
      </c>
      <c r="E22" s="77">
        <v>6.0</v>
      </c>
      <c r="F22" s="305">
        <f t="shared" si="1"/>
        <v>6</v>
      </c>
      <c r="G22" s="119">
        <v>6.0</v>
      </c>
      <c r="H22" s="119">
        <v>6.0</v>
      </c>
      <c r="I22" s="85">
        <f t="shared" si="2"/>
        <v>6</v>
      </c>
      <c r="J22" s="119">
        <v>6.0</v>
      </c>
      <c r="K22" s="119">
        <v>5.0</v>
      </c>
      <c r="L22" s="119">
        <v>6.0</v>
      </c>
      <c r="M22" s="119">
        <v>5.0</v>
      </c>
      <c r="N22" s="119">
        <v>6.0</v>
      </c>
      <c r="O22" s="119">
        <v>6.0</v>
      </c>
      <c r="P22" s="119">
        <v>6.0</v>
      </c>
      <c r="Q22" s="365">
        <f t="shared" si="3"/>
        <v>6</v>
      </c>
      <c r="R22" s="119">
        <v>6.0</v>
      </c>
      <c r="S22" s="119">
        <v>6.0</v>
      </c>
      <c r="T22" s="119">
        <v>6.0</v>
      </c>
      <c r="U22" s="119">
        <v>5.0</v>
      </c>
      <c r="V22" s="68">
        <f t="shared" si="4"/>
        <v>5.666666667</v>
      </c>
      <c r="W22" s="119">
        <v>5.0</v>
      </c>
      <c r="X22" s="119">
        <v>5.0</v>
      </c>
      <c r="Y22" s="119">
        <v>5.0</v>
      </c>
      <c r="Z22" s="69">
        <f t="shared" si="5"/>
        <v>5</v>
      </c>
      <c r="AA22" s="119">
        <v>6.0</v>
      </c>
      <c r="AB22" s="119">
        <v>6.0</v>
      </c>
      <c r="AC22" s="119">
        <v>5.0</v>
      </c>
      <c r="AD22" s="119">
        <v>5.0</v>
      </c>
      <c r="AE22" s="67">
        <f t="shared" si="6"/>
        <v>5.5</v>
      </c>
      <c r="AF22" s="119">
        <v>6.0</v>
      </c>
      <c r="AG22" s="119">
        <v>6.0</v>
      </c>
      <c r="AH22" s="119">
        <v>6.0</v>
      </c>
      <c r="AI22" s="119">
        <v>6.0</v>
      </c>
      <c r="AJ22" s="119">
        <v>6.0</v>
      </c>
      <c r="AK22" s="119">
        <v>6.0</v>
      </c>
      <c r="AL22" s="70">
        <f t="shared" si="7"/>
        <v>6</v>
      </c>
      <c r="AM22" s="371">
        <f t="shared" si="8"/>
        <v>5.7</v>
      </c>
    </row>
    <row r="23" ht="16.5" customHeight="1">
      <c r="A23" s="74">
        <v>16.0</v>
      </c>
      <c r="B23" s="304" t="s">
        <v>566</v>
      </c>
      <c r="C23" s="62" t="s">
        <v>44</v>
      </c>
      <c r="D23" s="119"/>
      <c r="E23" s="81"/>
      <c r="F23" s="305">
        <f t="shared" si="1"/>
        <v>0</v>
      </c>
      <c r="G23" s="119"/>
      <c r="H23" s="119"/>
      <c r="I23" s="85">
        <f t="shared" si="2"/>
        <v>0</v>
      </c>
      <c r="J23" s="62"/>
      <c r="K23" s="62"/>
      <c r="L23" s="119"/>
      <c r="M23" s="119"/>
      <c r="N23" s="62"/>
      <c r="O23" s="121"/>
      <c r="P23" s="119"/>
      <c r="Q23" s="365">
        <f t="shared" si="3"/>
        <v>0</v>
      </c>
      <c r="R23" s="119"/>
      <c r="S23" s="119"/>
      <c r="T23" s="121"/>
      <c r="U23" s="119"/>
      <c r="V23" s="68">
        <f t="shared" si="4"/>
        <v>0</v>
      </c>
      <c r="W23" s="119"/>
      <c r="X23" s="119"/>
      <c r="Y23" s="121"/>
      <c r="Z23" s="69">
        <f t="shared" si="5"/>
        <v>0</v>
      </c>
      <c r="AA23" s="62"/>
      <c r="AB23" s="62"/>
      <c r="AC23" s="316"/>
      <c r="AD23" s="316"/>
      <c r="AE23" s="67">
        <f t="shared" si="6"/>
        <v>0</v>
      </c>
      <c r="AF23" s="119"/>
      <c r="AG23" s="119"/>
      <c r="AH23" s="316"/>
      <c r="AI23" s="316"/>
      <c r="AJ23" s="302"/>
      <c r="AK23" s="121"/>
      <c r="AL23" s="70">
        <f t="shared" si="7"/>
        <v>0</v>
      </c>
      <c r="AM23" s="371">
        <f t="shared" si="8"/>
        <v>0</v>
      </c>
    </row>
    <row r="24" ht="15.75" customHeight="1">
      <c r="A24" s="74">
        <v>17.0</v>
      </c>
      <c r="B24" s="304" t="s">
        <v>567</v>
      </c>
      <c r="C24" s="62" t="s">
        <v>44</v>
      </c>
      <c r="D24" s="119">
        <v>5.0</v>
      </c>
      <c r="E24" s="77">
        <v>5.0</v>
      </c>
      <c r="F24" s="305">
        <f t="shared" si="1"/>
        <v>5</v>
      </c>
      <c r="G24" s="119">
        <v>5.0</v>
      </c>
      <c r="H24" s="119">
        <v>5.0</v>
      </c>
      <c r="I24" s="85">
        <f t="shared" si="2"/>
        <v>5</v>
      </c>
      <c r="J24" s="119">
        <v>5.0</v>
      </c>
      <c r="K24" s="119">
        <v>4.0</v>
      </c>
      <c r="L24" s="119">
        <v>5.0</v>
      </c>
      <c r="M24" s="119">
        <v>5.0</v>
      </c>
      <c r="N24" s="119">
        <v>5.0</v>
      </c>
      <c r="O24" s="119">
        <v>4.0</v>
      </c>
      <c r="P24" s="119">
        <v>4.0</v>
      </c>
      <c r="Q24" s="365">
        <f t="shared" si="3"/>
        <v>4</v>
      </c>
      <c r="R24" s="119">
        <v>5.0</v>
      </c>
      <c r="S24" s="119">
        <v>5.0</v>
      </c>
      <c r="T24" s="119">
        <v>4.0</v>
      </c>
      <c r="U24" s="119">
        <v>4.0</v>
      </c>
      <c r="V24" s="68">
        <f t="shared" si="4"/>
        <v>4.333333333</v>
      </c>
      <c r="W24" s="119">
        <v>5.0</v>
      </c>
      <c r="X24" s="119">
        <v>5.0</v>
      </c>
      <c r="Y24" s="119">
        <v>5.0</v>
      </c>
      <c r="Z24" s="69">
        <f t="shared" si="5"/>
        <v>5</v>
      </c>
      <c r="AA24" s="119">
        <v>5.0</v>
      </c>
      <c r="AB24" s="119">
        <v>5.0</v>
      </c>
      <c r="AC24" s="119">
        <v>5.0</v>
      </c>
      <c r="AD24" s="119">
        <v>5.0</v>
      </c>
      <c r="AE24" s="67">
        <f t="shared" si="6"/>
        <v>5</v>
      </c>
      <c r="AF24" s="119">
        <v>5.0</v>
      </c>
      <c r="AG24" s="119">
        <v>5.0</v>
      </c>
      <c r="AH24" s="119">
        <v>5.0</v>
      </c>
      <c r="AI24" s="119">
        <v>5.0</v>
      </c>
      <c r="AJ24" s="119">
        <v>4.0</v>
      </c>
      <c r="AK24" s="119">
        <v>5.0</v>
      </c>
      <c r="AL24" s="70">
        <f t="shared" si="7"/>
        <v>4.666666667</v>
      </c>
      <c r="AM24" s="371">
        <f t="shared" si="8"/>
        <v>4.566666667</v>
      </c>
    </row>
    <row r="25" ht="15.75" customHeight="1">
      <c r="A25" s="74">
        <v>18.0</v>
      </c>
      <c r="B25" s="304" t="s">
        <v>568</v>
      </c>
      <c r="C25" s="62" t="s">
        <v>44</v>
      </c>
      <c r="D25" s="119">
        <v>5.0</v>
      </c>
      <c r="E25" s="77">
        <v>5.0</v>
      </c>
      <c r="F25" s="305">
        <f t="shared" si="1"/>
        <v>5</v>
      </c>
      <c r="G25" s="119">
        <v>5.0</v>
      </c>
      <c r="H25" s="119">
        <v>5.0</v>
      </c>
      <c r="I25" s="85">
        <f t="shared" si="2"/>
        <v>5</v>
      </c>
      <c r="J25" s="119">
        <v>5.0</v>
      </c>
      <c r="K25" s="119">
        <v>4.0</v>
      </c>
      <c r="L25" s="119">
        <v>5.0</v>
      </c>
      <c r="M25" s="119">
        <v>5.0</v>
      </c>
      <c r="N25" s="119">
        <v>5.0</v>
      </c>
      <c r="O25" s="119">
        <v>6.0</v>
      </c>
      <c r="P25" s="119">
        <v>6.0</v>
      </c>
      <c r="Q25" s="365">
        <f t="shared" si="3"/>
        <v>6</v>
      </c>
      <c r="R25" s="119">
        <v>5.0</v>
      </c>
      <c r="S25" s="119">
        <v>6.0</v>
      </c>
      <c r="T25" s="119">
        <v>4.0</v>
      </c>
      <c r="U25" s="119">
        <v>6.0</v>
      </c>
      <c r="V25" s="68">
        <f t="shared" si="4"/>
        <v>5.333333333</v>
      </c>
      <c r="W25" s="119">
        <v>6.0</v>
      </c>
      <c r="X25" s="119">
        <v>6.0</v>
      </c>
      <c r="Y25" s="119">
        <v>5.0</v>
      </c>
      <c r="Z25" s="69">
        <f t="shared" si="5"/>
        <v>5.666666667</v>
      </c>
      <c r="AA25" s="119">
        <v>6.0</v>
      </c>
      <c r="AB25" s="119">
        <v>6.0</v>
      </c>
      <c r="AC25" s="119">
        <v>6.0</v>
      </c>
      <c r="AD25" s="119">
        <v>6.0</v>
      </c>
      <c r="AE25" s="67">
        <f t="shared" si="6"/>
        <v>6</v>
      </c>
      <c r="AF25" s="119">
        <v>6.0</v>
      </c>
      <c r="AG25" s="119">
        <v>6.0</v>
      </c>
      <c r="AH25" s="119">
        <v>6.0</v>
      </c>
      <c r="AI25" s="119">
        <v>6.0</v>
      </c>
      <c r="AJ25" s="119">
        <v>6.0</v>
      </c>
      <c r="AK25" s="119">
        <v>6.0</v>
      </c>
      <c r="AL25" s="70">
        <f t="shared" si="7"/>
        <v>6</v>
      </c>
      <c r="AM25" s="371">
        <f t="shared" si="8"/>
        <v>5.7</v>
      </c>
    </row>
    <row r="26" ht="15.75" customHeight="1">
      <c r="A26" s="74">
        <v>19.0</v>
      </c>
      <c r="B26" s="304" t="s">
        <v>569</v>
      </c>
      <c r="C26" s="62" t="s">
        <v>44</v>
      </c>
      <c r="D26" s="119">
        <v>5.0</v>
      </c>
      <c r="E26" s="77">
        <v>5.0</v>
      </c>
      <c r="F26" s="305">
        <f t="shared" si="1"/>
        <v>5</v>
      </c>
      <c r="G26" s="119">
        <v>5.0</v>
      </c>
      <c r="H26" s="119">
        <v>5.0</v>
      </c>
      <c r="I26" s="85">
        <f t="shared" si="2"/>
        <v>5</v>
      </c>
      <c r="J26" s="119">
        <v>5.0</v>
      </c>
      <c r="K26" s="119">
        <v>4.0</v>
      </c>
      <c r="L26" s="119">
        <v>5.0</v>
      </c>
      <c r="M26" s="119">
        <v>5.0</v>
      </c>
      <c r="N26" s="119">
        <v>5.0</v>
      </c>
      <c r="O26" s="119">
        <v>4.0</v>
      </c>
      <c r="P26" s="119">
        <v>4.0</v>
      </c>
      <c r="Q26" s="365">
        <f t="shared" si="3"/>
        <v>4</v>
      </c>
      <c r="R26" s="119">
        <v>5.0</v>
      </c>
      <c r="S26" s="119">
        <v>5.0</v>
      </c>
      <c r="T26" s="119">
        <v>4.0</v>
      </c>
      <c r="U26" s="119">
        <v>4.0</v>
      </c>
      <c r="V26" s="68">
        <f t="shared" si="4"/>
        <v>4.333333333</v>
      </c>
      <c r="W26" s="119">
        <v>5.0</v>
      </c>
      <c r="X26" s="119">
        <v>5.0</v>
      </c>
      <c r="Y26" s="119">
        <v>5.0</v>
      </c>
      <c r="Z26" s="69">
        <f t="shared" si="5"/>
        <v>5</v>
      </c>
      <c r="AA26" s="119">
        <v>5.0</v>
      </c>
      <c r="AB26" s="119">
        <v>5.0</v>
      </c>
      <c r="AC26" s="119">
        <v>5.0</v>
      </c>
      <c r="AD26" s="119">
        <v>5.0</v>
      </c>
      <c r="AE26" s="67">
        <f t="shared" si="6"/>
        <v>5</v>
      </c>
      <c r="AF26" s="119">
        <v>5.0</v>
      </c>
      <c r="AG26" s="119">
        <v>5.0</v>
      </c>
      <c r="AH26" s="119">
        <v>3.0</v>
      </c>
      <c r="AI26" s="119">
        <v>3.0</v>
      </c>
      <c r="AJ26" s="119">
        <v>3.0</v>
      </c>
      <c r="AK26" s="119">
        <v>3.0</v>
      </c>
      <c r="AL26" s="70">
        <f t="shared" si="7"/>
        <v>3</v>
      </c>
      <c r="AM26" s="371">
        <f t="shared" si="8"/>
        <v>4.2</v>
      </c>
    </row>
    <row r="27" ht="15.75" customHeight="1">
      <c r="A27" s="74">
        <v>20.0</v>
      </c>
      <c r="B27" s="304" t="s">
        <v>570</v>
      </c>
      <c r="C27" s="62" t="s">
        <v>44</v>
      </c>
      <c r="D27" s="119">
        <v>5.0</v>
      </c>
      <c r="E27" s="77">
        <v>5.0</v>
      </c>
      <c r="F27" s="305">
        <f t="shared" si="1"/>
        <v>5</v>
      </c>
      <c r="G27" s="119">
        <v>5.0</v>
      </c>
      <c r="H27" s="119">
        <v>5.0</v>
      </c>
      <c r="I27" s="85">
        <f t="shared" si="2"/>
        <v>5</v>
      </c>
      <c r="J27" s="119">
        <v>5.0</v>
      </c>
      <c r="K27" s="119">
        <v>4.0</v>
      </c>
      <c r="L27" s="119">
        <v>5.0</v>
      </c>
      <c r="M27" s="119">
        <v>5.0</v>
      </c>
      <c r="N27" s="119">
        <v>5.0</v>
      </c>
      <c r="O27" s="119">
        <v>4.0</v>
      </c>
      <c r="P27" s="119">
        <v>4.0</v>
      </c>
      <c r="Q27" s="365">
        <f t="shared" si="3"/>
        <v>4</v>
      </c>
      <c r="R27" s="119">
        <v>5.0</v>
      </c>
      <c r="S27" s="119">
        <v>5.0</v>
      </c>
      <c r="T27" s="119">
        <v>4.0</v>
      </c>
      <c r="U27" s="119">
        <v>4.0</v>
      </c>
      <c r="V27" s="68">
        <f t="shared" si="4"/>
        <v>4.333333333</v>
      </c>
      <c r="W27" s="119">
        <v>5.0</v>
      </c>
      <c r="X27" s="119">
        <v>5.0</v>
      </c>
      <c r="Y27" s="119">
        <v>5.0</v>
      </c>
      <c r="Z27" s="69">
        <f t="shared" si="5"/>
        <v>5</v>
      </c>
      <c r="AA27" s="119">
        <v>5.0</v>
      </c>
      <c r="AB27" s="119">
        <v>5.0</v>
      </c>
      <c r="AC27" s="119">
        <v>5.0</v>
      </c>
      <c r="AD27" s="119">
        <v>5.0</v>
      </c>
      <c r="AE27" s="67">
        <f t="shared" si="6"/>
        <v>5</v>
      </c>
      <c r="AF27" s="119">
        <v>5.0</v>
      </c>
      <c r="AG27" s="119">
        <v>5.0</v>
      </c>
      <c r="AH27" s="119">
        <v>3.0</v>
      </c>
      <c r="AI27" s="119">
        <v>3.0</v>
      </c>
      <c r="AJ27" s="119">
        <v>3.0</v>
      </c>
      <c r="AK27" s="119">
        <v>3.0</v>
      </c>
      <c r="AL27" s="70">
        <f t="shared" si="7"/>
        <v>3</v>
      </c>
      <c r="AM27" s="371">
        <f t="shared" si="8"/>
        <v>4.2</v>
      </c>
    </row>
    <row r="28" ht="15.75" customHeight="1">
      <c r="A28" s="74">
        <v>21.0</v>
      </c>
      <c r="B28" s="304" t="s">
        <v>571</v>
      </c>
      <c r="C28" s="62" t="s">
        <v>44</v>
      </c>
      <c r="D28" s="119">
        <v>5.0</v>
      </c>
      <c r="E28" s="77">
        <v>5.0</v>
      </c>
      <c r="F28" s="305">
        <f t="shared" si="1"/>
        <v>5</v>
      </c>
      <c r="G28" s="119">
        <v>5.0</v>
      </c>
      <c r="H28" s="119">
        <v>5.0</v>
      </c>
      <c r="I28" s="85">
        <f t="shared" si="2"/>
        <v>5</v>
      </c>
      <c r="J28" s="119">
        <v>5.0</v>
      </c>
      <c r="K28" s="119">
        <v>4.0</v>
      </c>
      <c r="L28" s="119">
        <v>5.0</v>
      </c>
      <c r="M28" s="119">
        <v>5.0</v>
      </c>
      <c r="N28" s="119">
        <v>5.0</v>
      </c>
      <c r="O28" s="119">
        <v>4.0</v>
      </c>
      <c r="P28" s="119">
        <v>4.0</v>
      </c>
      <c r="Q28" s="365">
        <f t="shared" si="3"/>
        <v>4</v>
      </c>
      <c r="R28" s="119">
        <v>5.0</v>
      </c>
      <c r="S28" s="119">
        <v>5.0</v>
      </c>
      <c r="T28" s="119">
        <v>4.0</v>
      </c>
      <c r="U28" s="119">
        <v>4.0</v>
      </c>
      <c r="V28" s="68">
        <f t="shared" si="4"/>
        <v>4.333333333</v>
      </c>
      <c r="W28" s="119">
        <v>5.0</v>
      </c>
      <c r="X28" s="119">
        <v>5.0</v>
      </c>
      <c r="Y28" s="119">
        <v>5.0</v>
      </c>
      <c r="Z28" s="69">
        <f t="shared" si="5"/>
        <v>5</v>
      </c>
      <c r="AA28" s="119">
        <v>5.0</v>
      </c>
      <c r="AB28" s="119">
        <v>5.0</v>
      </c>
      <c r="AC28" s="119">
        <v>5.0</v>
      </c>
      <c r="AD28" s="119">
        <v>5.0</v>
      </c>
      <c r="AE28" s="67">
        <f t="shared" si="6"/>
        <v>5</v>
      </c>
      <c r="AF28" s="119">
        <v>6.0</v>
      </c>
      <c r="AG28" s="119">
        <v>6.0</v>
      </c>
      <c r="AH28" s="119">
        <v>6.0</v>
      </c>
      <c r="AI28" s="119">
        <v>6.0</v>
      </c>
      <c r="AJ28" s="119">
        <v>6.0</v>
      </c>
      <c r="AK28" s="119">
        <v>6.0</v>
      </c>
      <c r="AL28" s="70">
        <f t="shared" si="7"/>
        <v>6</v>
      </c>
      <c r="AM28" s="371">
        <f t="shared" si="8"/>
        <v>4.8</v>
      </c>
    </row>
    <row r="29" ht="15.75" customHeight="1">
      <c r="A29" s="74">
        <v>22.0</v>
      </c>
      <c r="B29" s="304" t="s">
        <v>572</v>
      </c>
      <c r="C29" s="62" t="s">
        <v>44</v>
      </c>
      <c r="D29" s="65">
        <v>3.0</v>
      </c>
      <c r="E29" s="461">
        <v>3.0</v>
      </c>
      <c r="F29" s="305">
        <f t="shared" si="1"/>
        <v>3</v>
      </c>
      <c r="G29" s="65">
        <v>3.0</v>
      </c>
      <c r="H29" s="65">
        <v>3.0</v>
      </c>
      <c r="I29" s="85">
        <f t="shared" si="2"/>
        <v>3</v>
      </c>
      <c r="J29" s="119">
        <v>5.0</v>
      </c>
      <c r="K29" s="119">
        <v>4.0</v>
      </c>
      <c r="L29" s="119">
        <v>5.0</v>
      </c>
      <c r="M29" s="65">
        <v>3.0</v>
      </c>
      <c r="N29" s="119">
        <v>5.0</v>
      </c>
      <c r="O29" s="119">
        <v>4.0</v>
      </c>
      <c r="P29" s="119">
        <v>4.0</v>
      </c>
      <c r="Q29" s="365">
        <f t="shared" si="3"/>
        <v>4</v>
      </c>
      <c r="R29" s="65">
        <v>3.0</v>
      </c>
      <c r="S29" s="65">
        <v>3.0</v>
      </c>
      <c r="T29" s="119">
        <v>4.0</v>
      </c>
      <c r="U29" s="119">
        <v>4.0</v>
      </c>
      <c r="V29" s="68">
        <f t="shared" si="4"/>
        <v>3.666666667</v>
      </c>
      <c r="W29" s="65">
        <v>3.0</v>
      </c>
      <c r="X29" s="65">
        <v>3.0</v>
      </c>
      <c r="Y29" s="119">
        <v>5.0</v>
      </c>
      <c r="Z29" s="69">
        <f t="shared" si="5"/>
        <v>3.666666667</v>
      </c>
      <c r="AA29" s="119">
        <v>5.0</v>
      </c>
      <c r="AB29" s="119">
        <v>5.0</v>
      </c>
      <c r="AC29" s="119">
        <v>5.0</v>
      </c>
      <c r="AD29" s="119">
        <v>5.0</v>
      </c>
      <c r="AE29" s="67">
        <f t="shared" si="6"/>
        <v>5</v>
      </c>
      <c r="AF29" s="65">
        <v>3.0</v>
      </c>
      <c r="AG29" s="65">
        <v>3.0</v>
      </c>
      <c r="AH29" s="119">
        <v>3.0</v>
      </c>
      <c r="AI29" s="119">
        <v>3.0</v>
      </c>
      <c r="AJ29" s="119">
        <v>3.0</v>
      </c>
      <c r="AK29" s="119">
        <v>3.0</v>
      </c>
      <c r="AL29" s="70">
        <f t="shared" si="7"/>
        <v>3</v>
      </c>
      <c r="AM29" s="371">
        <f t="shared" si="8"/>
        <v>4</v>
      </c>
    </row>
    <row r="30" ht="15.75" customHeight="1">
      <c r="A30" s="74">
        <v>23.0</v>
      </c>
      <c r="B30" s="304" t="s">
        <v>573</v>
      </c>
      <c r="C30" s="62" t="s">
        <v>44</v>
      </c>
      <c r="D30" s="119">
        <v>3.0</v>
      </c>
      <c r="E30" s="77">
        <v>3.0</v>
      </c>
      <c r="F30" s="305">
        <f t="shared" si="1"/>
        <v>3</v>
      </c>
      <c r="G30" s="119">
        <v>3.0</v>
      </c>
      <c r="H30" s="119">
        <v>3.0</v>
      </c>
      <c r="I30" s="85">
        <f t="shared" si="2"/>
        <v>3</v>
      </c>
      <c r="J30" s="119">
        <v>5.0</v>
      </c>
      <c r="K30" s="119">
        <v>4.0</v>
      </c>
      <c r="L30" s="119">
        <v>5.0</v>
      </c>
      <c r="M30" s="119">
        <v>3.0</v>
      </c>
      <c r="N30" s="119">
        <v>5.0</v>
      </c>
      <c r="O30" s="119">
        <v>4.0</v>
      </c>
      <c r="P30" s="119">
        <v>4.0</v>
      </c>
      <c r="Q30" s="365">
        <f t="shared" si="3"/>
        <v>4</v>
      </c>
      <c r="R30" s="119">
        <v>3.0</v>
      </c>
      <c r="S30" s="119">
        <v>3.0</v>
      </c>
      <c r="T30" s="119">
        <v>4.0</v>
      </c>
      <c r="U30" s="119">
        <v>4.0</v>
      </c>
      <c r="V30" s="68">
        <f t="shared" si="4"/>
        <v>3.666666667</v>
      </c>
      <c r="W30" s="119">
        <v>3.0</v>
      </c>
      <c r="X30" s="119">
        <v>3.0</v>
      </c>
      <c r="Y30" s="119">
        <v>5.0</v>
      </c>
      <c r="Z30" s="69">
        <f t="shared" si="5"/>
        <v>3.666666667</v>
      </c>
      <c r="AA30" s="119">
        <v>5.0</v>
      </c>
      <c r="AB30" s="119">
        <v>5.0</v>
      </c>
      <c r="AC30" s="119">
        <v>5.0</v>
      </c>
      <c r="AD30" s="119">
        <v>5.0</v>
      </c>
      <c r="AE30" s="67">
        <f t="shared" si="6"/>
        <v>5</v>
      </c>
      <c r="AF30" s="119">
        <v>3.0</v>
      </c>
      <c r="AG30" s="119">
        <v>3.0</v>
      </c>
      <c r="AH30" s="119">
        <v>3.0</v>
      </c>
      <c r="AI30" s="119">
        <v>3.0</v>
      </c>
      <c r="AJ30" s="119">
        <v>3.0</v>
      </c>
      <c r="AK30" s="119">
        <v>3.0</v>
      </c>
      <c r="AL30" s="70">
        <f t="shared" si="7"/>
        <v>3</v>
      </c>
      <c r="AM30" s="371">
        <f t="shared" si="8"/>
        <v>4</v>
      </c>
    </row>
    <row r="31" ht="15.75" customHeight="1">
      <c r="A31" s="74">
        <v>24.0</v>
      </c>
      <c r="B31" s="304" t="s">
        <v>574</v>
      </c>
      <c r="C31" s="62" t="s">
        <v>45</v>
      </c>
      <c r="D31" s="119">
        <v>5.0</v>
      </c>
      <c r="E31" s="77">
        <v>5.0</v>
      </c>
      <c r="F31" s="305">
        <f t="shared" si="1"/>
        <v>5</v>
      </c>
      <c r="G31" s="119">
        <v>5.0</v>
      </c>
      <c r="H31" s="119">
        <v>5.0</v>
      </c>
      <c r="I31" s="85">
        <f t="shared" si="2"/>
        <v>5</v>
      </c>
      <c r="J31" s="119">
        <v>5.0</v>
      </c>
      <c r="K31" s="119">
        <v>4.0</v>
      </c>
      <c r="L31" s="119">
        <v>5.0</v>
      </c>
      <c r="M31" s="119">
        <v>5.0</v>
      </c>
      <c r="N31" s="119">
        <v>5.0</v>
      </c>
      <c r="O31" s="119">
        <v>4.0</v>
      </c>
      <c r="P31" s="119">
        <v>4.0</v>
      </c>
      <c r="Q31" s="365">
        <f t="shared" si="3"/>
        <v>4</v>
      </c>
      <c r="R31" s="119">
        <v>5.0</v>
      </c>
      <c r="S31" s="119">
        <v>5.0</v>
      </c>
      <c r="T31" s="119">
        <v>4.0</v>
      </c>
      <c r="U31" s="119">
        <v>4.0</v>
      </c>
      <c r="V31" s="68">
        <f t="shared" si="4"/>
        <v>4.333333333</v>
      </c>
      <c r="W31" s="119">
        <v>5.0</v>
      </c>
      <c r="X31" s="119">
        <v>5.0</v>
      </c>
      <c r="Y31" s="119">
        <v>5.0</v>
      </c>
      <c r="Z31" s="69">
        <f t="shared" si="5"/>
        <v>5</v>
      </c>
      <c r="AA31" s="119">
        <v>5.0</v>
      </c>
      <c r="AB31" s="119">
        <v>5.0</v>
      </c>
      <c r="AC31" s="119">
        <v>5.0</v>
      </c>
      <c r="AD31" s="119">
        <v>5.0</v>
      </c>
      <c r="AE31" s="67">
        <f t="shared" si="6"/>
        <v>5</v>
      </c>
      <c r="AF31" s="119">
        <v>5.0</v>
      </c>
      <c r="AG31" s="119">
        <v>5.0</v>
      </c>
      <c r="AH31" s="119">
        <v>3.0</v>
      </c>
      <c r="AI31" s="119">
        <v>3.0</v>
      </c>
      <c r="AJ31" s="119">
        <v>3.0</v>
      </c>
      <c r="AK31" s="119">
        <v>3.0</v>
      </c>
      <c r="AL31" s="70">
        <f t="shared" si="7"/>
        <v>3</v>
      </c>
      <c r="AM31" s="371">
        <f t="shared" si="8"/>
        <v>4.2</v>
      </c>
    </row>
    <row r="32" ht="15.75" customHeight="1">
      <c r="A32" s="74">
        <v>25.0</v>
      </c>
      <c r="B32" s="304" t="s">
        <v>575</v>
      </c>
      <c r="C32" s="62" t="s">
        <v>45</v>
      </c>
      <c r="D32" s="119">
        <v>5.0</v>
      </c>
      <c r="E32" s="77">
        <v>5.0</v>
      </c>
      <c r="F32" s="305">
        <f t="shared" si="1"/>
        <v>5</v>
      </c>
      <c r="G32" s="119">
        <v>5.0</v>
      </c>
      <c r="H32" s="119">
        <v>5.0</v>
      </c>
      <c r="I32" s="85">
        <f t="shared" si="2"/>
        <v>5</v>
      </c>
      <c r="J32" s="119">
        <v>5.0</v>
      </c>
      <c r="K32" s="119">
        <v>4.0</v>
      </c>
      <c r="L32" s="119">
        <v>5.0</v>
      </c>
      <c r="M32" s="119">
        <v>5.0</v>
      </c>
      <c r="N32" s="119">
        <v>5.0</v>
      </c>
      <c r="O32" s="119">
        <v>4.0</v>
      </c>
      <c r="P32" s="119">
        <v>4.0</v>
      </c>
      <c r="Q32" s="365">
        <f t="shared" si="3"/>
        <v>4</v>
      </c>
      <c r="R32" s="119">
        <v>5.0</v>
      </c>
      <c r="S32" s="119">
        <v>5.0</v>
      </c>
      <c r="T32" s="119">
        <v>4.0</v>
      </c>
      <c r="U32" s="119">
        <v>4.0</v>
      </c>
      <c r="V32" s="68">
        <f t="shared" si="4"/>
        <v>4.333333333</v>
      </c>
      <c r="W32" s="119">
        <v>5.0</v>
      </c>
      <c r="X32" s="119">
        <v>5.0</v>
      </c>
      <c r="Y32" s="119">
        <v>5.0</v>
      </c>
      <c r="Z32" s="69">
        <f t="shared" si="5"/>
        <v>5</v>
      </c>
      <c r="AA32" s="119">
        <v>5.0</v>
      </c>
      <c r="AB32" s="119">
        <v>5.0</v>
      </c>
      <c r="AC32" s="119">
        <v>5.0</v>
      </c>
      <c r="AD32" s="119">
        <v>5.0</v>
      </c>
      <c r="AE32" s="67">
        <f t="shared" si="6"/>
        <v>5</v>
      </c>
      <c r="AF32" s="119">
        <v>5.0</v>
      </c>
      <c r="AG32" s="119">
        <v>5.0</v>
      </c>
      <c r="AH32" s="119">
        <v>4.0</v>
      </c>
      <c r="AI32" s="119">
        <v>4.0</v>
      </c>
      <c r="AJ32" s="119">
        <v>5.0</v>
      </c>
      <c r="AK32" s="119">
        <v>5.0</v>
      </c>
      <c r="AL32" s="70">
        <f t="shared" si="7"/>
        <v>4.666666667</v>
      </c>
      <c r="AM32" s="371">
        <f t="shared" si="8"/>
        <v>4.466666667</v>
      </c>
    </row>
    <row r="33" ht="16.5" customHeight="1">
      <c r="A33" s="74">
        <v>26.0</v>
      </c>
      <c r="B33" s="304" t="s">
        <v>576</v>
      </c>
      <c r="C33" s="62" t="s">
        <v>45</v>
      </c>
      <c r="D33" s="119">
        <v>5.0</v>
      </c>
      <c r="E33" s="77">
        <v>5.0</v>
      </c>
      <c r="F33" s="305">
        <f t="shared" si="1"/>
        <v>5</v>
      </c>
      <c r="G33" s="119">
        <v>5.0</v>
      </c>
      <c r="H33" s="119">
        <v>5.0</v>
      </c>
      <c r="I33" s="85">
        <f t="shared" si="2"/>
        <v>5</v>
      </c>
      <c r="J33" s="119">
        <v>5.0</v>
      </c>
      <c r="K33" s="119">
        <v>4.0</v>
      </c>
      <c r="L33" s="119">
        <v>5.0</v>
      </c>
      <c r="M33" s="119">
        <v>5.0</v>
      </c>
      <c r="N33" s="119">
        <v>5.0</v>
      </c>
      <c r="O33" s="119">
        <v>4.0</v>
      </c>
      <c r="P33" s="119">
        <v>4.0</v>
      </c>
      <c r="Q33" s="365">
        <f t="shared" si="3"/>
        <v>4</v>
      </c>
      <c r="R33" s="119">
        <v>5.0</v>
      </c>
      <c r="S33" s="119">
        <v>5.0</v>
      </c>
      <c r="T33" s="119">
        <v>4.0</v>
      </c>
      <c r="U33" s="119">
        <v>4.0</v>
      </c>
      <c r="V33" s="68">
        <f t="shared" si="4"/>
        <v>4.333333333</v>
      </c>
      <c r="W33" s="119">
        <v>5.0</v>
      </c>
      <c r="X33" s="119">
        <v>5.0</v>
      </c>
      <c r="Y33" s="119">
        <v>5.0</v>
      </c>
      <c r="Z33" s="69">
        <f t="shared" si="5"/>
        <v>5</v>
      </c>
      <c r="AA33" s="119">
        <v>5.0</v>
      </c>
      <c r="AB33" s="119">
        <v>5.0</v>
      </c>
      <c r="AC33" s="119">
        <v>5.0</v>
      </c>
      <c r="AD33" s="119">
        <v>5.0</v>
      </c>
      <c r="AE33" s="67">
        <f t="shared" si="6"/>
        <v>5</v>
      </c>
      <c r="AF33" s="119">
        <v>5.0</v>
      </c>
      <c r="AG33" s="119">
        <v>5.0</v>
      </c>
      <c r="AH33" s="119">
        <v>3.0</v>
      </c>
      <c r="AI33" s="119">
        <v>3.0</v>
      </c>
      <c r="AJ33" s="119">
        <v>3.0</v>
      </c>
      <c r="AK33" s="119">
        <v>3.0</v>
      </c>
      <c r="AL33" s="70">
        <f t="shared" si="7"/>
        <v>3</v>
      </c>
      <c r="AM33" s="371">
        <f t="shared" si="8"/>
        <v>4.2</v>
      </c>
    </row>
    <row r="34" ht="15.75" customHeight="1">
      <c r="A34" s="74">
        <v>27.0</v>
      </c>
      <c r="B34" s="304" t="s">
        <v>577</v>
      </c>
      <c r="C34" s="62" t="s">
        <v>45</v>
      </c>
      <c r="D34" s="119">
        <v>5.0</v>
      </c>
      <c r="E34" s="77">
        <v>5.0</v>
      </c>
      <c r="F34" s="305">
        <f t="shared" si="1"/>
        <v>5</v>
      </c>
      <c r="G34" s="119">
        <v>5.0</v>
      </c>
      <c r="H34" s="119">
        <v>5.0</v>
      </c>
      <c r="I34" s="85">
        <f t="shared" si="2"/>
        <v>5</v>
      </c>
      <c r="J34" s="119">
        <v>5.0</v>
      </c>
      <c r="K34" s="119">
        <v>4.0</v>
      </c>
      <c r="L34" s="119">
        <v>5.0</v>
      </c>
      <c r="M34" s="119">
        <v>5.0</v>
      </c>
      <c r="N34" s="119">
        <v>5.0</v>
      </c>
      <c r="O34" s="119">
        <v>4.0</v>
      </c>
      <c r="P34" s="119">
        <v>4.0</v>
      </c>
      <c r="Q34" s="365">
        <f t="shared" si="3"/>
        <v>4</v>
      </c>
      <c r="R34" s="119">
        <v>5.0</v>
      </c>
      <c r="S34" s="119">
        <v>5.0</v>
      </c>
      <c r="T34" s="119">
        <v>4.0</v>
      </c>
      <c r="U34" s="119">
        <v>4.0</v>
      </c>
      <c r="V34" s="68">
        <f t="shared" si="4"/>
        <v>4.333333333</v>
      </c>
      <c r="W34" s="119">
        <v>5.0</v>
      </c>
      <c r="X34" s="119">
        <v>5.0</v>
      </c>
      <c r="Y34" s="119">
        <v>5.0</v>
      </c>
      <c r="Z34" s="69">
        <f t="shared" si="5"/>
        <v>5</v>
      </c>
      <c r="AA34" s="119">
        <v>5.0</v>
      </c>
      <c r="AB34" s="119">
        <v>5.0</v>
      </c>
      <c r="AC34" s="119">
        <v>5.0</v>
      </c>
      <c r="AD34" s="119">
        <v>5.0</v>
      </c>
      <c r="AE34" s="67">
        <f t="shared" si="6"/>
        <v>5</v>
      </c>
      <c r="AF34" s="119">
        <v>6.0</v>
      </c>
      <c r="AG34" s="119">
        <v>6.0</v>
      </c>
      <c r="AH34" s="119">
        <v>6.0</v>
      </c>
      <c r="AI34" s="119">
        <v>6.0</v>
      </c>
      <c r="AJ34" s="119">
        <v>6.0</v>
      </c>
      <c r="AK34" s="119">
        <v>6.0</v>
      </c>
      <c r="AL34" s="70">
        <f t="shared" si="7"/>
        <v>6</v>
      </c>
      <c r="AM34" s="371">
        <f t="shared" si="8"/>
        <v>4.8</v>
      </c>
    </row>
    <row r="35" ht="15.75" customHeight="1">
      <c r="A35" s="74">
        <v>28.0</v>
      </c>
      <c r="B35" s="304" t="s">
        <v>578</v>
      </c>
      <c r="C35" s="62" t="s">
        <v>45</v>
      </c>
      <c r="D35" s="119">
        <v>5.0</v>
      </c>
      <c r="E35" s="77">
        <v>5.0</v>
      </c>
      <c r="F35" s="305">
        <f t="shared" si="1"/>
        <v>5</v>
      </c>
      <c r="G35" s="119">
        <v>5.0</v>
      </c>
      <c r="H35" s="119">
        <v>5.0</v>
      </c>
      <c r="I35" s="85">
        <f t="shared" si="2"/>
        <v>5</v>
      </c>
      <c r="J35" s="119">
        <v>5.0</v>
      </c>
      <c r="K35" s="119">
        <v>4.0</v>
      </c>
      <c r="L35" s="119">
        <v>5.0</v>
      </c>
      <c r="M35" s="119">
        <v>5.0</v>
      </c>
      <c r="N35" s="119">
        <v>5.0</v>
      </c>
      <c r="O35" s="119">
        <v>4.0</v>
      </c>
      <c r="P35" s="119">
        <v>4.0</v>
      </c>
      <c r="Q35" s="365">
        <f t="shared" si="3"/>
        <v>4</v>
      </c>
      <c r="R35" s="119">
        <v>5.0</v>
      </c>
      <c r="S35" s="119">
        <v>5.0</v>
      </c>
      <c r="T35" s="119">
        <v>4.0</v>
      </c>
      <c r="U35" s="119">
        <v>4.0</v>
      </c>
      <c r="V35" s="68">
        <f t="shared" si="4"/>
        <v>4.333333333</v>
      </c>
      <c r="W35" s="119">
        <v>5.0</v>
      </c>
      <c r="X35" s="119">
        <v>5.0</v>
      </c>
      <c r="Y35" s="119">
        <v>5.0</v>
      </c>
      <c r="Z35" s="69">
        <f t="shared" si="5"/>
        <v>5</v>
      </c>
      <c r="AA35" s="119">
        <v>5.0</v>
      </c>
      <c r="AB35" s="119">
        <v>5.0</v>
      </c>
      <c r="AC35" s="119">
        <v>5.0</v>
      </c>
      <c r="AD35" s="119">
        <v>5.0</v>
      </c>
      <c r="AE35" s="67">
        <f t="shared" si="6"/>
        <v>5</v>
      </c>
      <c r="AF35" s="119">
        <v>5.0</v>
      </c>
      <c r="AG35" s="119">
        <v>5.0</v>
      </c>
      <c r="AH35" s="119">
        <v>3.0</v>
      </c>
      <c r="AI35" s="119">
        <v>3.0</v>
      </c>
      <c r="AJ35" s="119">
        <v>3.0</v>
      </c>
      <c r="AK35" s="119">
        <v>3.0</v>
      </c>
      <c r="AL35" s="70">
        <f t="shared" si="7"/>
        <v>3</v>
      </c>
      <c r="AM35" s="371">
        <f t="shared" si="8"/>
        <v>4.2</v>
      </c>
    </row>
    <row r="36" ht="15.75" customHeight="1">
      <c r="A36" s="74">
        <v>29.0</v>
      </c>
      <c r="B36" s="304" t="s">
        <v>579</v>
      </c>
      <c r="C36" s="62" t="s">
        <v>45</v>
      </c>
      <c r="D36" s="119">
        <v>4.0</v>
      </c>
      <c r="E36" s="77">
        <v>4.0</v>
      </c>
      <c r="F36" s="305">
        <f t="shared" si="1"/>
        <v>4</v>
      </c>
      <c r="G36" s="119">
        <v>4.0</v>
      </c>
      <c r="H36" s="119">
        <v>4.0</v>
      </c>
      <c r="I36" s="85">
        <f t="shared" si="2"/>
        <v>4</v>
      </c>
      <c r="J36" s="119">
        <v>5.0</v>
      </c>
      <c r="K36" s="119">
        <v>4.0</v>
      </c>
      <c r="L36" s="119">
        <v>5.0</v>
      </c>
      <c r="M36" s="119">
        <v>4.0</v>
      </c>
      <c r="N36" s="119">
        <v>5.0</v>
      </c>
      <c r="O36" s="119">
        <v>4.0</v>
      </c>
      <c r="P36" s="119">
        <v>4.0</v>
      </c>
      <c r="Q36" s="365">
        <f t="shared" si="3"/>
        <v>4</v>
      </c>
      <c r="R36" s="119">
        <v>4.0</v>
      </c>
      <c r="S36" s="119">
        <v>4.0</v>
      </c>
      <c r="T36" s="119">
        <v>4.0</v>
      </c>
      <c r="U36" s="119">
        <v>4.0</v>
      </c>
      <c r="V36" s="68">
        <f t="shared" si="4"/>
        <v>4</v>
      </c>
      <c r="W36" s="119">
        <v>4.0</v>
      </c>
      <c r="X36" s="119">
        <v>4.0</v>
      </c>
      <c r="Y36" s="119">
        <v>5.0</v>
      </c>
      <c r="Z36" s="69">
        <f t="shared" si="5"/>
        <v>4.333333333</v>
      </c>
      <c r="AA36" s="119">
        <v>5.0</v>
      </c>
      <c r="AB36" s="119">
        <v>5.0</v>
      </c>
      <c r="AC36" s="119">
        <v>5.0</v>
      </c>
      <c r="AD36" s="119">
        <v>5.0</v>
      </c>
      <c r="AE36" s="67">
        <f t="shared" si="6"/>
        <v>5</v>
      </c>
      <c r="AF36" s="119">
        <v>4.0</v>
      </c>
      <c r="AG36" s="119">
        <v>4.0</v>
      </c>
      <c r="AH36" s="119">
        <v>3.0</v>
      </c>
      <c r="AI36" s="119">
        <v>3.0</v>
      </c>
      <c r="AJ36" s="119">
        <v>3.0</v>
      </c>
      <c r="AK36" s="119">
        <v>3.0</v>
      </c>
      <c r="AL36" s="70">
        <f t="shared" si="7"/>
        <v>3</v>
      </c>
      <c r="AM36" s="371">
        <f t="shared" si="8"/>
        <v>4.1</v>
      </c>
    </row>
    <row r="37" ht="15.75" customHeight="1">
      <c r="A37" s="74">
        <v>30.0</v>
      </c>
      <c r="B37" s="304" t="s">
        <v>580</v>
      </c>
      <c r="C37" s="62" t="s">
        <v>45</v>
      </c>
      <c r="D37" s="119">
        <v>5.0</v>
      </c>
      <c r="E37" s="77">
        <v>5.0</v>
      </c>
      <c r="F37" s="305">
        <f t="shared" si="1"/>
        <v>5</v>
      </c>
      <c r="G37" s="119">
        <v>5.0</v>
      </c>
      <c r="H37" s="119">
        <v>5.0</v>
      </c>
      <c r="I37" s="85">
        <f t="shared" si="2"/>
        <v>5</v>
      </c>
      <c r="J37" s="119">
        <v>5.0</v>
      </c>
      <c r="K37" s="119">
        <v>4.0</v>
      </c>
      <c r="L37" s="119">
        <v>5.0</v>
      </c>
      <c r="M37" s="119">
        <v>5.0</v>
      </c>
      <c r="N37" s="119">
        <v>5.0</v>
      </c>
      <c r="O37" s="119">
        <v>4.0</v>
      </c>
      <c r="P37" s="119">
        <v>4.0</v>
      </c>
      <c r="Q37" s="365">
        <f t="shared" si="3"/>
        <v>4</v>
      </c>
      <c r="R37" s="119">
        <v>5.0</v>
      </c>
      <c r="S37" s="119">
        <v>5.0</v>
      </c>
      <c r="T37" s="119">
        <v>4.0</v>
      </c>
      <c r="U37" s="119">
        <v>4.0</v>
      </c>
      <c r="V37" s="68">
        <f t="shared" si="4"/>
        <v>4.333333333</v>
      </c>
      <c r="W37" s="119">
        <v>5.0</v>
      </c>
      <c r="X37" s="119">
        <v>5.0</v>
      </c>
      <c r="Y37" s="119">
        <v>5.0</v>
      </c>
      <c r="Z37" s="69">
        <f t="shared" si="5"/>
        <v>5</v>
      </c>
      <c r="AA37" s="119">
        <v>5.0</v>
      </c>
      <c r="AB37" s="119">
        <v>5.0</v>
      </c>
      <c r="AC37" s="119">
        <v>5.0</v>
      </c>
      <c r="AD37" s="119">
        <v>5.0</v>
      </c>
      <c r="AE37" s="67">
        <f t="shared" si="6"/>
        <v>5</v>
      </c>
      <c r="AF37" s="119">
        <v>5.0</v>
      </c>
      <c r="AG37" s="119">
        <v>5.0</v>
      </c>
      <c r="AH37" s="119">
        <v>5.0</v>
      </c>
      <c r="AI37" s="119">
        <v>5.0</v>
      </c>
      <c r="AJ37" s="119">
        <v>5.0</v>
      </c>
      <c r="AK37" s="119">
        <v>5.0</v>
      </c>
      <c r="AL37" s="70">
        <f t="shared" si="7"/>
        <v>5</v>
      </c>
      <c r="AM37" s="371">
        <f t="shared" si="8"/>
        <v>4.6</v>
      </c>
    </row>
    <row r="38" ht="15.75" customHeight="1">
      <c r="A38" s="74">
        <v>31.0</v>
      </c>
      <c r="B38" s="304" t="s">
        <v>581</v>
      </c>
      <c r="C38" s="62" t="s">
        <v>44</v>
      </c>
      <c r="D38" s="119">
        <v>4.0</v>
      </c>
      <c r="E38" s="77">
        <v>4.0</v>
      </c>
      <c r="F38" s="305">
        <f t="shared" si="1"/>
        <v>4</v>
      </c>
      <c r="G38" s="119">
        <v>4.0</v>
      </c>
      <c r="H38" s="119">
        <v>4.0</v>
      </c>
      <c r="I38" s="85">
        <f t="shared" si="2"/>
        <v>4</v>
      </c>
      <c r="J38" s="119">
        <v>5.0</v>
      </c>
      <c r="K38" s="119">
        <v>4.0</v>
      </c>
      <c r="L38" s="119">
        <v>5.0</v>
      </c>
      <c r="M38" s="119">
        <v>4.0</v>
      </c>
      <c r="N38" s="119">
        <v>5.0</v>
      </c>
      <c r="O38" s="119">
        <v>4.0</v>
      </c>
      <c r="P38" s="119">
        <v>4.0</v>
      </c>
      <c r="Q38" s="365">
        <f t="shared" si="3"/>
        <v>4</v>
      </c>
      <c r="R38" s="119">
        <v>4.0</v>
      </c>
      <c r="S38" s="119">
        <v>4.0</v>
      </c>
      <c r="T38" s="119">
        <v>4.0</v>
      </c>
      <c r="U38" s="119">
        <v>4.0</v>
      </c>
      <c r="V38" s="68">
        <f t="shared" si="4"/>
        <v>4</v>
      </c>
      <c r="W38" s="119">
        <v>4.0</v>
      </c>
      <c r="X38" s="119">
        <v>4.0</v>
      </c>
      <c r="Y38" s="119">
        <v>5.0</v>
      </c>
      <c r="Z38" s="69">
        <f t="shared" si="5"/>
        <v>4.333333333</v>
      </c>
      <c r="AA38" s="119">
        <v>5.0</v>
      </c>
      <c r="AB38" s="119">
        <v>5.0</v>
      </c>
      <c r="AC38" s="119">
        <v>5.0</v>
      </c>
      <c r="AD38" s="119">
        <v>5.0</v>
      </c>
      <c r="AE38" s="67">
        <f t="shared" si="6"/>
        <v>5</v>
      </c>
      <c r="AF38" s="119">
        <v>4.0</v>
      </c>
      <c r="AG38" s="119">
        <v>4.0</v>
      </c>
      <c r="AH38" s="119">
        <v>3.0</v>
      </c>
      <c r="AI38" s="119">
        <v>3.0</v>
      </c>
      <c r="AJ38" s="119">
        <v>3.0</v>
      </c>
      <c r="AK38" s="119">
        <v>3.0</v>
      </c>
      <c r="AL38" s="70">
        <f t="shared" si="7"/>
        <v>3</v>
      </c>
      <c r="AM38" s="371">
        <f t="shared" si="8"/>
        <v>4.1</v>
      </c>
    </row>
    <row r="39" ht="15.75" customHeight="1">
      <c r="A39" s="74">
        <v>32.0</v>
      </c>
      <c r="B39" s="304" t="s">
        <v>582</v>
      </c>
      <c r="C39" s="62" t="s">
        <v>44</v>
      </c>
      <c r="D39" s="119">
        <v>5.0</v>
      </c>
      <c r="E39" s="77">
        <v>5.0</v>
      </c>
      <c r="F39" s="305">
        <f t="shared" si="1"/>
        <v>5</v>
      </c>
      <c r="G39" s="119">
        <v>5.0</v>
      </c>
      <c r="H39" s="119">
        <v>5.0</v>
      </c>
      <c r="I39" s="85">
        <f t="shared" si="2"/>
        <v>5</v>
      </c>
      <c r="J39" s="119">
        <v>5.0</v>
      </c>
      <c r="K39" s="119">
        <v>4.0</v>
      </c>
      <c r="L39" s="119">
        <v>5.0</v>
      </c>
      <c r="M39" s="119">
        <v>5.0</v>
      </c>
      <c r="N39" s="119">
        <v>5.0</v>
      </c>
      <c r="O39" s="119">
        <v>4.0</v>
      </c>
      <c r="P39" s="119">
        <v>4.0</v>
      </c>
      <c r="Q39" s="365">
        <f t="shared" si="3"/>
        <v>4</v>
      </c>
      <c r="R39" s="119">
        <v>5.0</v>
      </c>
      <c r="S39" s="119">
        <v>5.0</v>
      </c>
      <c r="T39" s="119">
        <v>4.0</v>
      </c>
      <c r="U39" s="119">
        <v>4.0</v>
      </c>
      <c r="V39" s="68">
        <f t="shared" si="4"/>
        <v>4.333333333</v>
      </c>
      <c r="W39" s="119">
        <v>5.0</v>
      </c>
      <c r="X39" s="119">
        <v>5.0</v>
      </c>
      <c r="Y39" s="119">
        <v>5.0</v>
      </c>
      <c r="Z39" s="69">
        <f t="shared" si="5"/>
        <v>5</v>
      </c>
      <c r="AA39" s="119">
        <v>5.0</v>
      </c>
      <c r="AB39" s="119">
        <v>5.0</v>
      </c>
      <c r="AC39" s="119">
        <v>5.0</v>
      </c>
      <c r="AD39" s="119">
        <v>5.0</v>
      </c>
      <c r="AE39" s="67">
        <f t="shared" si="6"/>
        <v>5</v>
      </c>
      <c r="AF39" s="119">
        <v>5.0</v>
      </c>
      <c r="AG39" s="119">
        <v>5.0</v>
      </c>
      <c r="AH39" s="119">
        <v>4.0</v>
      </c>
      <c r="AI39" s="119">
        <v>4.0</v>
      </c>
      <c r="AJ39" s="119">
        <v>5.0</v>
      </c>
      <c r="AK39" s="119">
        <v>5.0</v>
      </c>
      <c r="AL39" s="70">
        <f t="shared" si="7"/>
        <v>4.666666667</v>
      </c>
      <c r="AM39" s="371">
        <f t="shared" si="8"/>
        <v>4.466666667</v>
      </c>
    </row>
    <row r="40" ht="15.75" customHeight="1">
      <c r="A40" s="74">
        <v>33.0</v>
      </c>
      <c r="B40" s="304" t="s">
        <v>583</v>
      </c>
      <c r="C40" s="62" t="s">
        <v>45</v>
      </c>
      <c r="D40" s="119">
        <v>3.0</v>
      </c>
      <c r="E40" s="77">
        <v>3.0</v>
      </c>
      <c r="F40" s="305">
        <f t="shared" si="1"/>
        <v>3</v>
      </c>
      <c r="G40" s="119">
        <v>3.0</v>
      </c>
      <c r="H40" s="119">
        <v>3.0</v>
      </c>
      <c r="I40" s="85">
        <f t="shared" si="2"/>
        <v>3</v>
      </c>
      <c r="J40" s="119">
        <v>5.0</v>
      </c>
      <c r="K40" s="119">
        <v>4.0</v>
      </c>
      <c r="L40" s="119">
        <v>5.0</v>
      </c>
      <c r="M40" s="119">
        <v>3.0</v>
      </c>
      <c r="N40" s="119">
        <v>5.0</v>
      </c>
      <c r="O40" s="119">
        <v>4.0</v>
      </c>
      <c r="P40" s="119">
        <v>4.0</v>
      </c>
      <c r="Q40" s="365">
        <f t="shared" si="3"/>
        <v>4</v>
      </c>
      <c r="R40" s="119">
        <v>3.0</v>
      </c>
      <c r="S40" s="119">
        <v>3.0</v>
      </c>
      <c r="T40" s="119">
        <v>4.0</v>
      </c>
      <c r="U40" s="119">
        <v>4.0</v>
      </c>
      <c r="V40" s="68">
        <f t="shared" si="4"/>
        <v>3.666666667</v>
      </c>
      <c r="W40" s="119">
        <v>3.0</v>
      </c>
      <c r="X40" s="119">
        <v>3.0</v>
      </c>
      <c r="Y40" s="119">
        <v>5.0</v>
      </c>
      <c r="Z40" s="69">
        <f t="shared" si="5"/>
        <v>3.666666667</v>
      </c>
      <c r="AA40" s="119">
        <v>3.0</v>
      </c>
      <c r="AB40" s="119">
        <v>3.0</v>
      </c>
      <c r="AC40" s="119">
        <v>3.0</v>
      </c>
      <c r="AD40" s="119">
        <v>3.0</v>
      </c>
      <c r="AE40" s="67">
        <f t="shared" si="6"/>
        <v>3</v>
      </c>
      <c r="AF40" s="119">
        <v>3.0</v>
      </c>
      <c r="AG40" s="119">
        <v>3.0</v>
      </c>
      <c r="AH40" s="119">
        <v>3.0</v>
      </c>
      <c r="AI40" s="119">
        <v>3.0</v>
      </c>
      <c r="AJ40" s="119">
        <v>3.0</v>
      </c>
      <c r="AK40" s="119">
        <v>3.0</v>
      </c>
      <c r="AL40" s="70">
        <f t="shared" si="7"/>
        <v>3</v>
      </c>
      <c r="AM40" s="371">
        <f t="shared" si="8"/>
        <v>3.8</v>
      </c>
    </row>
    <row r="41" ht="15.75" customHeight="1">
      <c r="A41" s="74">
        <v>34.0</v>
      </c>
      <c r="B41" s="304" t="s">
        <v>584</v>
      </c>
      <c r="C41" s="62" t="s">
        <v>44</v>
      </c>
      <c r="D41" s="119">
        <v>4.0</v>
      </c>
      <c r="E41" s="77">
        <v>4.0</v>
      </c>
      <c r="F41" s="305">
        <f t="shared" si="1"/>
        <v>4</v>
      </c>
      <c r="G41" s="119">
        <v>4.0</v>
      </c>
      <c r="H41" s="119">
        <v>4.0</v>
      </c>
      <c r="I41" s="85">
        <f t="shared" si="2"/>
        <v>4</v>
      </c>
      <c r="J41" s="119">
        <v>5.0</v>
      </c>
      <c r="K41" s="119">
        <v>4.0</v>
      </c>
      <c r="L41" s="119">
        <v>5.0</v>
      </c>
      <c r="M41" s="119">
        <v>4.0</v>
      </c>
      <c r="N41" s="119">
        <v>5.0</v>
      </c>
      <c r="O41" s="119">
        <v>4.0</v>
      </c>
      <c r="P41" s="119">
        <v>4.0</v>
      </c>
      <c r="Q41" s="365">
        <f t="shared" si="3"/>
        <v>4</v>
      </c>
      <c r="R41" s="119">
        <v>4.0</v>
      </c>
      <c r="S41" s="119">
        <v>4.0</v>
      </c>
      <c r="T41" s="119">
        <v>4.0</v>
      </c>
      <c r="U41" s="119">
        <v>4.0</v>
      </c>
      <c r="V41" s="68">
        <f t="shared" si="4"/>
        <v>4</v>
      </c>
      <c r="W41" s="119">
        <v>4.0</v>
      </c>
      <c r="X41" s="119">
        <v>4.0</v>
      </c>
      <c r="Y41" s="119">
        <v>5.0</v>
      </c>
      <c r="Z41" s="69">
        <f t="shared" si="5"/>
        <v>4.333333333</v>
      </c>
      <c r="AA41" s="119">
        <v>5.0</v>
      </c>
      <c r="AB41" s="119">
        <v>5.0</v>
      </c>
      <c r="AC41" s="119">
        <v>5.0</v>
      </c>
      <c r="AD41" s="119">
        <v>5.0</v>
      </c>
      <c r="AE41" s="67">
        <f t="shared" si="6"/>
        <v>5</v>
      </c>
      <c r="AF41" s="119">
        <v>4.0</v>
      </c>
      <c r="AG41" s="119">
        <v>4.0</v>
      </c>
      <c r="AH41" s="119">
        <v>3.0</v>
      </c>
      <c r="AI41" s="119">
        <v>3.0</v>
      </c>
      <c r="AJ41" s="119">
        <v>3.0</v>
      </c>
      <c r="AK41" s="119">
        <v>3.0</v>
      </c>
      <c r="AL41" s="70">
        <f t="shared" si="7"/>
        <v>3</v>
      </c>
      <c r="AM41" s="371">
        <f t="shared" si="8"/>
        <v>4.1</v>
      </c>
    </row>
    <row r="42" ht="15.75" customHeight="1">
      <c r="A42" s="74">
        <v>35.0</v>
      </c>
      <c r="B42" s="411" t="s">
        <v>585</v>
      </c>
      <c r="C42" s="62" t="s">
        <v>44</v>
      </c>
      <c r="D42" s="119">
        <v>3.0</v>
      </c>
      <c r="E42" s="77">
        <v>3.0</v>
      </c>
      <c r="F42" s="305">
        <f t="shared" si="1"/>
        <v>3</v>
      </c>
      <c r="G42" s="119">
        <v>3.0</v>
      </c>
      <c r="H42" s="119">
        <v>3.0</v>
      </c>
      <c r="I42" s="85">
        <f t="shared" si="2"/>
        <v>3</v>
      </c>
      <c r="J42" s="119">
        <v>5.0</v>
      </c>
      <c r="K42" s="119">
        <v>4.0</v>
      </c>
      <c r="L42" s="119">
        <v>5.0</v>
      </c>
      <c r="M42" s="119">
        <v>3.0</v>
      </c>
      <c r="N42" s="119">
        <v>5.0</v>
      </c>
      <c r="O42" s="119">
        <v>4.0</v>
      </c>
      <c r="P42" s="119">
        <v>4.0</v>
      </c>
      <c r="Q42" s="365">
        <f t="shared" si="3"/>
        <v>4</v>
      </c>
      <c r="R42" s="119">
        <v>3.0</v>
      </c>
      <c r="S42" s="119">
        <v>3.0</v>
      </c>
      <c r="T42" s="119">
        <v>4.0</v>
      </c>
      <c r="U42" s="119">
        <v>4.0</v>
      </c>
      <c r="V42" s="68">
        <f t="shared" si="4"/>
        <v>3.666666667</v>
      </c>
      <c r="W42" s="119">
        <v>3.0</v>
      </c>
      <c r="X42" s="119">
        <v>3.0</v>
      </c>
      <c r="Y42" s="119">
        <v>5.0</v>
      </c>
      <c r="Z42" s="69">
        <f t="shared" si="5"/>
        <v>3.666666667</v>
      </c>
      <c r="AA42" s="119">
        <v>5.0</v>
      </c>
      <c r="AB42" s="119">
        <v>5.0</v>
      </c>
      <c r="AC42" s="119">
        <v>5.0</v>
      </c>
      <c r="AD42" s="119">
        <v>5.0</v>
      </c>
      <c r="AE42" s="67">
        <f t="shared" si="6"/>
        <v>5</v>
      </c>
      <c r="AF42" s="119">
        <v>3.0</v>
      </c>
      <c r="AG42" s="119">
        <v>3.0</v>
      </c>
      <c r="AH42" s="119">
        <v>3.0</v>
      </c>
      <c r="AI42" s="119">
        <v>3.0</v>
      </c>
      <c r="AJ42" s="119">
        <v>3.0</v>
      </c>
      <c r="AK42" s="119">
        <v>3.0</v>
      </c>
      <c r="AL42" s="70">
        <f t="shared" si="7"/>
        <v>3</v>
      </c>
      <c r="AM42" s="371">
        <f t="shared" si="8"/>
        <v>4</v>
      </c>
    </row>
    <row r="43" ht="15.75" customHeight="1">
      <c r="A43" s="74">
        <v>36.0</v>
      </c>
      <c r="B43" s="118"/>
      <c r="C43" s="75"/>
      <c r="D43" s="119"/>
      <c r="E43" s="81"/>
      <c r="F43" s="305">
        <f t="shared" si="1"/>
        <v>0</v>
      </c>
      <c r="G43" s="119"/>
      <c r="H43" s="119"/>
      <c r="I43" s="85">
        <f t="shared" si="2"/>
        <v>0</v>
      </c>
      <c r="J43" s="62"/>
      <c r="K43" s="62"/>
      <c r="L43" s="62"/>
      <c r="M43" s="65"/>
      <c r="N43" s="65"/>
      <c r="O43" s="63"/>
      <c r="P43" s="62"/>
      <c r="Q43" s="365">
        <f t="shared" si="3"/>
        <v>0</v>
      </c>
      <c r="R43" s="77"/>
      <c r="S43" s="121"/>
      <c r="T43" s="121"/>
      <c r="U43" s="119"/>
      <c r="V43" s="68">
        <f t="shared" si="4"/>
        <v>0</v>
      </c>
      <c r="W43" s="121"/>
      <c r="X43" s="121"/>
      <c r="Y43" s="121"/>
      <c r="Z43" s="69">
        <f t="shared" si="5"/>
        <v>0</v>
      </c>
      <c r="AA43" s="62"/>
      <c r="AB43" s="63"/>
      <c r="AC43" s="250"/>
      <c r="AD43" s="250"/>
      <c r="AE43" s="67">
        <f t="shared" si="6"/>
        <v>0</v>
      </c>
      <c r="AF43" s="76"/>
      <c r="AG43" s="121"/>
      <c r="AH43" s="316"/>
      <c r="AI43" s="316"/>
      <c r="AJ43" s="302"/>
      <c r="AK43" s="121"/>
      <c r="AL43" s="70">
        <f t="shared" si="7"/>
        <v>0</v>
      </c>
      <c r="AM43" s="371">
        <f t="shared" si="8"/>
        <v>0</v>
      </c>
    </row>
    <row r="44" ht="15.75" customHeight="1">
      <c r="A44" s="74">
        <v>37.0</v>
      </c>
      <c r="B44" s="75"/>
      <c r="C44" s="75"/>
      <c r="D44" s="65"/>
      <c r="E44" s="65"/>
      <c r="F44" s="305">
        <f t="shared" si="1"/>
        <v>0</v>
      </c>
      <c r="G44" s="75"/>
      <c r="H44" s="75"/>
      <c r="I44" s="85">
        <f t="shared" si="2"/>
        <v>0</v>
      </c>
      <c r="J44" s="75"/>
      <c r="K44" s="75"/>
      <c r="L44" s="75"/>
      <c r="M44" s="65"/>
      <c r="N44" s="63"/>
      <c r="O44" s="63"/>
      <c r="P44" s="75"/>
      <c r="Q44" s="365">
        <f t="shared" si="3"/>
        <v>0</v>
      </c>
      <c r="R44" s="65"/>
      <c r="S44" s="75"/>
      <c r="T44" s="63"/>
      <c r="U44" s="75"/>
      <c r="V44" s="68">
        <f t="shared" si="4"/>
        <v>0</v>
      </c>
      <c r="W44" s="75"/>
      <c r="X44" s="63"/>
      <c r="Y44" s="75"/>
      <c r="Z44" s="69">
        <f t="shared" si="5"/>
        <v>0</v>
      </c>
      <c r="AA44" s="75"/>
      <c r="AB44" s="63"/>
      <c r="AC44" s="75"/>
      <c r="AD44" s="75"/>
      <c r="AE44" s="67">
        <f t="shared" si="6"/>
        <v>0</v>
      </c>
      <c r="AF44" s="65"/>
      <c r="AG44" s="63"/>
      <c r="AH44" s="75"/>
      <c r="AI44" s="75"/>
      <c r="AJ44" s="75"/>
      <c r="AK44" s="75"/>
      <c r="AL44" s="70">
        <f t="shared" si="7"/>
        <v>0</v>
      </c>
      <c r="AM44" s="371">
        <f t="shared" si="8"/>
        <v>0</v>
      </c>
    </row>
    <row r="45" ht="15.75" customHeight="1">
      <c r="A45" s="84">
        <v>38.0</v>
      </c>
      <c r="B45" s="163"/>
      <c r="C45" s="163"/>
      <c r="D45" s="441"/>
      <c r="E45" s="163"/>
      <c r="F45" s="372">
        <f t="shared" si="1"/>
        <v>0</v>
      </c>
      <c r="G45" s="163"/>
      <c r="H45" s="163"/>
      <c r="I45" s="373">
        <f t="shared" si="2"/>
        <v>0</v>
      </c>
      <c r="J45" s="163"/>
      <c r="K45" s="163"/>
      <c r="L45" s="163"/>
      <c r="M45" s="441"/>
      <c r="N45" s="164"/>
      <c r="O45" s="164"/>
      <c r="P45" s="163"/>
      <c r="Q45" s="374">
        <f t="shared" si="3"/>
        <v>0</v>
      </c>
      <c r="R45" s="441"/>
      <c r="S45" s="163"/>
      <c r="T45" s="164"/>
      <c r="U45" s="163"/>
      <c r="V45" s="166">
        <f t="shared" si="4"/>
        <v>0</v>
      </c>
      <c r="W45" s="163"/>
      <c r="X45" s="164"/>
      <c r="Y45" s="163"/>
      <c r="Z45" s="167">
        <f t="shared" si="5"/>
        <v>0</v>
      </c>
      <c r="AA45" s="163"/>
      <c r="AB45" s="164"/>
      <c r="AC45" s="163"/>
      <c r="AD45" s="163"/>
      <c r="AE45" s="377">
        <f t="shared" si="6"/>
        <v>0</v>
      </c>
      <c r="AF45" s="441"/>
      <c r="AG45" s="164"/>
      <c r="AH45" s="163"/>
      <c r="AI45" s="163"/>
      <c r="AJ45" s="163"/>
      <c r="AK45" s="163"/>
      <c r="AL45" s="168">
        <f t="shared" si="7"/>
        <v>0</v>
      </c>
      <c r="AM45" s="378">
        <f t="shared" si="8"/>
        <v>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6:B7"/>
    <mergeCell ref="C6:C7"/>
    <mergeCell ref="D6:F6"/>
    <mergeCell ref="G6:I6"/>
    <mergeCell ref="M6:Q6"/>
    <mergeCell ref="R6:V6"/>
    <mergeCell ref="W6:Z6"/>
    <mergeCell ref="AA6:AE6"/>
    <mergeCell ref="AF6:AL6"/>
    <mergeCell ref="AM6:AM7"/>
    <mergeCell ref="A1:AM1"/>
    <mergeCell ref="C3:P3"/>
    <mergeCell ref="Q3:U3"/>
    <mergeCell ref="V3:AE3"/>
    <mergeCell ref="C4:P4"/>
    <mergeCell ref="V4:AE4"/>
    <mergeCell ref="A6:A7"/>
  </mergeCells>
  <printOptions/>
  <pageMargins bottom="0.75" footer="0.0" header="0.0" left="0.7" right="0.7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0"/>
    <col customWidth="1" min="2" max="2" width="40.11"/>
    <col customWidth="1" min="3" max="5" width="4.0"/>
    <col customWidth="1" min="6" max="7" width="3.78"/>
    <col customWidth="1" min="8" max="12" width="4.0"/>
    <col customWidth="1" min="13" max="13" width="4.11"/>
    <col customWidth="1" min="14" max="15" width="4.0"/>
    <col customWidth="1" min="16" max="16" width="4.44"/>
    <col customWidth="1" min="17" max="20" width="4.33"/>
    <col customWidth="1" min="21" max="21" width="4.11"/>
    <col customWidth="1" min="22" max="23" width="4.33"/>
    <col customWidth="1" min="24" max="24" width="4.44"/>
    <col customWidth="1" min="25" max="25" width="4.33"/>
    <col customWidth="1" min="26" max="26" width="4.11"/>
    <col customWidth="1" min="27" max="27" width="4.33"/>
    <col customWidth="1" min="28" max="28" width="4.11"/>
    <col customWidth="1" min="29" max="30" width="4.33"/>
    <col customWidth="1" min="31" max="31" width="4.0"/>
    <col customWidth="1" min="32" max="32" width="4.11"/>
    <col customWidth="1" min="33" max="33" width="4.33"/>
    <col customWidth="1" min="34" max="34" width="4.11"/>
    <col customWidth="1" min="35" max="35" width="4.33"/>
    <col customWidth="1" min="36" max="36" width="4.0"/>
    <col customWidth="1" min="37" max="37" width="4.33"/>
    <col customWidth="1" min="38" max="38" width="4.44"/>
    <col customWidth="1" min="39" max="47" width="7.67"/>
  </cols>
  <sheetData>
    <row r="1" ht="26.25" customHeight="1">
      <c r="A1" s="173"/>
      <c r="B1" s="462" t="s">
        <v>586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463"/>
      <c r="AO1" s="463"/>
      <c r="AP1" s="463"/>
      <c r="AQ1" s="463"/>
      <c r="AR1" s="463"/>
      <c r="AS1" s="463"/>
      <c r="AT1" s="463"/>
      <c r="AU1" s="463"/>
    </row>
    <row r="2" ht="22.5" customHeight="1">
      <c r="A2" s="464"/>
      <c r="AF2" s="463"/>
      <c r="AG2" s="463"/>
      <c r="AH2" s="463"/>
      <c r="AI2" s="463"/>
      <c r="AJ2" s="463"/>
      <c r="AK2" s="463"/>
      <c r="AL2" s="463"/>
      <c r="AM2" s="465"/>
      <c r="AN2" s="463"/>
      <c r="AO2" s="463"/>
      <c r="AP2" s="463"/>
      <c r="AQ2" s="463"/>
      <c r="AR2" s="463"/>
      <c r="AS2" s="463"/>
      <c r="AT2" s="463"/>
      <c r="AU2" s="463"/>
    </row>
    <row r="3" ht="21.75" customHeight="1">
      <c r="A3" s="4"/>
      <c r="B3" s="9" t="s">
        <v>547</v>
      </c>
      <c r="C3" s="10" t="s">
        <v>2</v>
      </c>
      <c r="Q3" s="9" t="s">
        <v>310</v>
      </c>
      <c r="V3" s="11" t="s">
        <v>587</v>
      </c>
      <c r="AM3" s="7"/>
    </row>
    <row r="4" ht="21.75" customHeight="1">
      <c r="A4" s="466"/>
      <c r="B4" s="13" t="s">
        <v>549</v>
      </c>
      <c r="C4" s="14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 t="s">
        <v>588</v>
      </c>
      <c r="R4" s="13"/>
      <c r="S4" s="13"/>
      <c r="T4" s="13"/>
      <c r="U4" s="13"/>
      <c r="V4" s="467" t="s">
        <v>589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7"/>
      <c r="AL4" s="17"/>
      <c r="AM4" s="18"/>
    </row>
    <row r="5" ht="15.75" customHeight="1">
      <c r="A5" s="19"/>
      <c r="B5" s="19"/>
      <c r="C5" s="19"/>
    </row>
    <row r="6" ht="15.75" customHeight="1">
      <c r="A6" s="176" t="s">
        <v>9</v>
      </c>
      <c r="B6" s="176" t="s">
        <v>10</v>
      </c>
      <c r="C6" s="329" t="s">
        <v>11</v>
      </c>
      <c r="D6" s="22" t="s">
        <v>12</v>
      </c>
      <c r="E6" s="23"/>
      <c r="F6" s="24"/>
      <c r="G6" s="330" t="s">
        <v>53</v>
      </c>
      <c r="H6" s="23"/>
      <c r="I6" s="24"/>
      <c r="J6" s="331" t="s">
        <v>131</v>
      </c>
      <c r="K6" s="332" t="s">
        <v>132</v>
      </c>
      <c r="L6" s="23"/>
      <c r="M6" s="23"/>
      <c r="N6" s="24"/>
      <c r="O6" s="333" t="s">
        <v>133</v>
      </c>
      <c r="P6" s="334" t="s">
        <v>14</v>
      </c>
      <c r="Q6" s="23"/>
      <c r="R6" s="23"/>
      <c r="S6" s="23"/>
      <c r="T6" s="24"/>
      <c r="U6" s="26" t="s">
        <v>15</v>
      </c>
      <c r="V6" s="23"/>
      <c r="W6" s="23"/>
      <c r="X6" s="24"/>
      <c r="Y6" s="273" t="s">
        <v>16</v>
      </c>
      <c r="Z6" s="23"/>
      <c r="AA6" s="335"/>
      <c r="AB6" s="336"/>
      <c r="AC6" s="25" t="s">
        <v>17</v>
      </c>
      <c r="AD6" s="23"/>
      <c r="AE6" s="23"/>
      <c r="AF6" s="23"/>
      <c r="AG6" s="24"/>
      <c r="AH6" s="28" t="s">
        <v>18</v>
      </c>
      <c r="AI6" s="23"/>
      <c r="AJ6" s="23"/>
      <c r="AK6" s="23"/>
      <c r="AL6" s="24"/>
      <c r="AM6" s="337" t="s">
        <v>19</v>
      </c>
      <c r="AN6" s="468"/>
      <c r="AO6" s="468"/>
      <c r="AP6" s="468"/>
      <c r="AQ6" s="468"/>
      <c r="AR6" s="468"/>
      <c r="AS6" s="468"/>
      <c r="AT6" s="468"/>
      <c r="AU6" s="468"/>
    </row>
    <row r="7" ht="63.75" customHeight="1">
      <c r="A7" s="188"/>
      <c r="B7" s="188"/>
      <c r="C7" s="188"/>
      <c r="D7" s="217" t="s">
        <v>590</v>
      </c>
      <c r="E7" s="218" t="s">
        <v>591</v>
      </c>
      <c r="F7" s="219" t="s">
        <v>20</v>
      </c>
      <c r="G7" s="469" t="s">
        <v>592</v>
      </c>
      <c r="H7" s="470" t="s">
        <v>591</v>
      </c>
      <c r="I7" s="471" t="s">
        <v>20</v>
      </c>
      <c r="J7" s="341" t="s">
        <v>593</v>
      </c>
      <c r="K7" s="381" t="s">
        <v>594</v>
      </c>
      <c r="L7" s="382" t="s">
        <v>595</v>
      </c>
      <c r="M7" s="382" t="s">
        <v>596</v>
      </c>
      <c r="N7" s="344" t="s">
        <v>20</v>
      </c>
      <c r="O7" s="397" t="s">
        <v>597</v>
      </c>
      <c r="P7" s="346" t="s">
        <v>598</v>
      </c>
      <c r="Q7" s="347" t="s">
        <v>599</v>
      </c>
      <c r="R7" s="347" t="s">
        <v>600</v>
      </c>
      <c r="S7" s="347" t="s">
        <v>601</v>
      </c>
      <c r="T7" s="348" t="s">
        <v>20</v>
      </c>
      <c r="U7" s="349" t="s">
        <v>602</v>
      </c>
      <c r="V7" s="350" t="s">
        <v>603</v>
      </c>
      <c r="W7" s="351" t="s">
        <v>604</v>
      </c>
      <c r="X7" s="352" t="s">
        <v>20</v>
      </c>
      <c r="Y7" s="286" t="s">
        <v>605</v>
      </c>
      <c r="Z7" s="287" t="s">
        <v>606</v>
      </c>
      <c r="AA7" s="289" t="s">
        <v>607</v>
      </c>
      <c r="AB7" s="288" t="s">
        <v>20</v>
      </c>
      <c r="AC7" s="238" t="s">
        <v>608</v>
      </c>
      <c r="AD7" s="239" t="s">
        <v>609</v>
      </c>
      <c r="AE7" s="239" t="s">
        <v>610</v>
      </c>
      <c r="AF7" s="354" t="s">
        <v>611</v>
      </c>
      <c r="AG7" s="240" t="s">
        <v>20</v>
      </c>
      <c r="AH7" s="355" t="s">
        <v>612</v>
      </c>
      <c r="AI7" s="356" t="s">
        <v>613</v>
      </c>
      <c r="AJ7" s="356" t="s">
        <v>614</v>
      </c>
      <c r="AK7" s="357" t="s">
        <v>615</v>
      </c>
      <c r="AL7" s="358" t="s">
        <v>20</v>
      </c>
      <c r="AM7" s="188"/>
      <c r="AN7" s="468"/>
      <c r="AO7" s="468"/>
      <c r="AP7" s="468"/>
      <c r="AQ7" s="468"/>
      <c r="AR7" s="468"/>
      <c r="AS7" s="468"/>
      <c r="AT7" s="468"/>
      <c r="AU7" s="468"/>
    </row>
    <row r="8" ht="15.75" customHeight="1">
      <c r="A8" s="59">
        <v>1.0</v>
      </c>
      <c r="B8" s="472" t="s">
        <v>616</v>
      </c>
      <c r="C8" s="155" t="s">
        <v>45</v>
      </c>
      <c r="D8" s="62">
        <v>6.0</v>
      </c>
      <c r="E8" s="155">
        <v>5.0</v>
      </c>
      <c r="F8" s="359">
        <f t="shared" ref="F8:F45" si="1">SUM(D8:E8)/2</f>
        <v>5.5</v>
      </c>
      <c r="G8" s="155">
        <v>6.0</v>
      </c>
      <c r="H8" s="155">
        <v>5.0</v>
      </c>
      <c r="I8" s="360">
        <f t="shared" ref="I8:I45" si="2">SUM(G8:H8)/2</f>
        <v>5.5</v>
      </c>
      <c r="J8" s="156">
        <v>5.0</v>
      </c>
      <c r="K8" s="473">
        <v>4.0</v>
      </c>
      <c r="L8" s="473">
        <v>4.0</v>
      </c>
      <c r="M8" s="473">
        <v>4.0</v>
      </c>
      <c r="N8" s="362">
        <f t="shared" ref="N8:N45" si="3">SUM(L8:M8)/2</f>
        <v>4</v>
      </c>
      <c r="O8" s="63">
        <v>5.0</v>
      </c>
      <c r="P8" s="155">
        <v>5.0</v>
      </c>
      <c r="Q8" s="155">
        <v>5.0</v>
      </c>
      <c r="R8" s="155">
        <v>5.0</v>
      </c>
      <c r="S8" s="155">
        <v>5.0</v>
      </c>
      <c r="T8" s="363">
        <f t="shared" ref="T8:T45" si="4">SUM(R8:S8)/2</f>
        <v>5</v>
      </c>
      <c r="U8" s="155">
        <v>5.0</v>
      </c>
      <c r="V8" s="155">
        <v>5.0</v>
      </c>
      <c r="W8" s="155">
        <v>5.0</v>
      </c>
      <c r="X8" s="158">
        <f t="shared" ref="X8:X45" si="5">SUM(U8:W8)/3</f>
        <v>5</v>
      </c>
      <c r="Y8" s="156">
        <v>5.0</v>
      </c>
      <c r="Z8" s="155">
        <v>4.0</v>
      </c>
      <c r="AA8" s="156">
        <v>5.0</v>
      </c>
      <c r="AB8" s="246">
        <f t="shared" ref="AB8:AB45" si="6">SUM(X8:AA8)/4</f>
        <v>4.75</v>
      </c>
      <c r="AC8" s="245">
        <v>5.0</v>
      </c>
      <c r="AD8" s="474">
        <v>5.0</v>
      </c>
      <c r="AE8" s="474">
        <v>5.0</v>
      </c>
      <c r="AF8" s="474">
        <v>5.0</v>
      </c>
      <c r="AG8" s="248">
        <f t="shared" ref="AG8:AG45" si="7">SUM(AD8:AF8)/3</f>
        <v>5</v>
      </c>
      <c r="AH8" s="245">
        <v>4.0</v>
      </c>
      <c r="AI8" s="245">
        <v>4.0</v>
      </c>
      <c r="AJ8" s="473">
        <v>4.0</v>
      </c>
      <c r="AK8" s="473">
        <v>4.0</v>
      </c>
      <c r="AL8" s="160">
        <f t="shared" ref="AL8:AL45" si="8">SUM(AI8:AK8)/3</f>
        <v>4</v>
      </c>
      <c r="AM8" s="364">
        <f t="shared" ref="AM8:AM33" si="9">SUM(AL8,AH8,AC8,Y8,U8,R8,Q8,P8,O8,L8)/10</f>
        <v>4.7</v>
      </c>
      <c r="AN8" s="172"/>
      <c r="AO8" s="172"/>
      <c r="AP8" s="172"/>
      <c r="AQ8" s="172"/>
      <c r="AR8" s="172"/>
      <c r="AS8" s="172"/>
      <c r="AT8" s="172"/>
      <c r="AU8" s="172"/>
    </row>
    <row r="9" ht="15.75" customHeight="1">
      <c r="A9" s="74">
        <v>2.0</v>
      </c>
      <c r="B9" s="475" t="s">
        <v>617</v>
      </c>
      <c r="C9" s="62" t="s">
        <v>44</v>
      </c>
      <c r="D9" s="62">
        <v>5.0</v>
      </c>
      <c r="E9" s="62">
        <v>5.0</v>
      </c>
      <c r="F9" s="305">
        <f t="shared" si="1"/>
        <v>5</v>
      </c>
      <c r="G9" s="62">
        <v>6.0</v>
      </c>
      <c r="H9" s="62">
        <v>5.0</v>
      </c>
      <c r="I9" s="85">
        <f t="shared" si="2"/>
        <v>5.5</v>
      </c>
      <c r="J9" s="62">
        <v>5.0</v>
      </c>
      <c r="K9" s="476">
        <v>4.0</v>
      </c>
      <c r="L9" s="476">
        <v>4.0</v>
      </c>
      <c r="M9" s="476">
        <v>4.0</v>
      </c>
      <c r="N9" s="365">
        <f t="shared" si="3"/>
        <v>4</v>
      </c>
      <c r="O9" s="63">
        <v>5.0</v>
      </c>
      <c r="P9" s="62">
        <v>5.0</v>
      </c>
      <c r="Q9" s="62">
        <v>5.0</v>
      </c>
      <c r="R9" s="62">
        <v>5.0</v>
      </c>
      <c r="S9" s="62">
        <v>5.0</v>
      </c>
      <c r="T9" s="366">
        <f t="shared" si="4"/>
        <v>5</v>
      </c>
      <c r="U9" s="62">
        <v>5.0</v>
      </c>
      <c r="V9" s="62">
        <v>5.0</v>
      </c>
      <c r="W9" s="62">
        <v>6.0</v>
      </c>
      <c r="X9" s="68">
        <f t="shared" si="5"/>
        <v>5.333333333</v>
      </c>
      <c r="Y9" s="63">
        <v>5.0</v>
      </c>
      <c r="Z9" s="62">
        <v>5.0</v>
      </c>
      <c r="AA9" s="63">
        <v>4.0</v>
      </c>
      <c r="AB9" s="212">
        <f t="shared" si="6"/>
        <v>4.833333333</v>
      </c>
      <c r="AC9" s="250">
        <v>6.0</v>
      </c>
      <c r="AD9" s="477">
        <v>6.0</v>
      </c>
      <c r="AE9" s="477">
        <v>5.0</v>
      </c>
      <c r="AF9" s="477">
        <v>5.0</v>
      </c>
      <c r="AG9" s="67">
        <f t="shared" si="7"/>
        <v>5.333333333</v>
      </c>
      <c r="AH9" s="250">
        <v>4.0</v>
      </c>
      <c r="AI9" s="250">
        <v>4.0</v>
      </c>
      <c r="AJ9" s="476">
        <v>4.0</v>
      </c>
      <c r="AK9" s="476">
        <v>4.0</v>
      </c>
      <c r="AL9" s="70">
        <f t="shared" si="8"/>
        <v>4</v>
      </c>
      <c r="AM9" s="371">
        <f t="shared" si="9"/>
        <v>4.8</v>
      </c>
      <c r="AN9" s="172"/>
      <c r="AO9" s="172"/>
      <c r="AP9" s="172"/>
      <c r="AQ9" s="172"/>
      <c r="AR9" s="172"/>
      <c r="AS9" s="172"/>
      <c r="AT9" s="172"/>
      <c r="AU9" s="172"/>
    </row>
    <row r="10" ht="15.75" customHeight="1">
      <c r="A10" s="74">
        <v>3.0</v>
      </c>
      <c r="B10" s="475" t="s">
        <v>618</v>
      </c>
      <c r="C10" s="62" t="s">
        <v>44</v>
      </c>
      <c r="D10" s="62">
        <v>2.0</v>
      </c>
      <c r="E10" s="62">
        <v>2.0</v>
      </c>
      <c r="F10" s="305">
        <f t="shared" si="1"/>
        <v>2</v>
      </c>
      <c r="G10" s="62">
        <v>2.0</v>
      </c>
      <c r="H10" s="62">
        <v>2.0</v>
      </c>
      <c r="I10" s="85">
        <f t="shared" si="2"/>
        <v>2</v>
      </c>
      <c r="J10" s="62">
        <v>3.0</v>
      </c>
      <c r="K10" s="476">
        <v>3.0</v>
      </c>
      <c r="L10" s="476">
        <v>3.0</v>
      </c>
      <c r="M10" s="476">
        <v>3.0</v>
      </c>
      <c r="N10" s="365">
        <f t="shared" si="3"/>
        <v>3</v>
      </c>
      <c r="O10" s="63">
        <v>3.0</v>
      </c>
      <c r="P10" s="62">
        <v>3.0</v>
      </c>
      <c r="Q10" s="62">
        <v>3.0</v>
      </c>
      <c r="R10" s="62">
        <v>3.0</v>
      </c>
      <c r="S10" s="62">
        <v>3.0</v>
      </c>
      <c r="T10" s="366">
        <f t="shared" si="4"/>
        <v>3</v>
      </c>
      <c r="U10" s="62">
        <v>3.0</v>
      </c>
      <c r="V10" s="62">
        <v>3.0</v>
      </c>
      <c r="W10" s="62">
        <v>3.0</v>
      </c>
      <c r="X10" s="68">
        <f t="shared" si="5"/>
        <v>3</v>
      </c>
      <c r="Y10" s="63">
        <v>3.0</v>
      </c>
      <c r="Z10" s="62">
        <v>3.0</v>
      </c>
      <c r="AA10" s="63">
        <v>3.0</v>
      </c>
      <c r="AB10" s="212">
        <f t="shared" si="6"/>
        <v>3</v>
      </c>
      <c r="AC10" s="250">
        <v>3.0</v>
      </c>
      <c r="AD10" s="477">
        <v>3.0</v>
      </c>
      <c r="AE10" s="477">
        <v>3.0</v>
      </c>
      <c r="AF10" s="477">
        <v>3.0</v>
      </c>
      <c r="AG10" s="67">
        <f t="shared" si="7"/>
        <v>3</v>
      </c>
      <c r="AH10" s="250">
        <v>3.0</v>
      </c>
      <c r="AI10" s="250">
        <v>3.0</v>
      </c>
      <c r="AJ10" s="476">
        <v>3.0</v>
      </c>
      <c r="AK10" s="476">
        <v>3.0</v>
      </c>
      <c r="AL10" s="70">
        <f t="shared" si="8"/>
        <v>3</v>
      </c>
      <c r="AM10" s="371">
        <f t="shared" si="9"/>
        <v>3</v>
      </c>
      <c r="AN10" s="172"/>
      <c r="AO10" s="172"/>
      <c r="AP10" s="172"/>
      <c r="AQ10" s="172"/>
      <c r="AR10" s="172"/>
      <c r="AS10" s="172"/>
      <c r="AT10" s="172"/>
      <c r="AU10" s="172"/>
    </row>
    <row r="11" ht="15.75" customHeight="1">
      <c r="A11" s="74">
        <v>4.0</v>
      </c>
      <c r="B11" s="475" t="s">
        <v>619</v>
      </c>
      <c r="C11" s="62" t="s">
        <v>45</v>
      </c>
      <c r="D11" s="62">
        <v>5.0</v>
      </c>
      <c r="E11" s="62">
        <v>6.0</v>
      </c>
      <c r="F11" s="305">
        <f t="shared" si="1"/>
        <v>5.5</v>
      </c>
      <c r="G11" s="62">
        <v>6.0</v>
      </c>
      <c r="H11" s="62">
        <v>6.0</v>
      </c>
      <c r="I11" s="85">
        <f t="shared" si="2"/>
        <v>6</v>
      </c>
      <c r="J11" s="62">
        <v>6.0</v>
      </c>
      <c r="K11" s="476">
        <v>5.0</v>
      </c>
      <c r="L11" s="476">
        <v>5.0</v>
      </c>
      <c r="M11" s="476">
        <v>5.0</v>
      </c>
      <c r="N11" s="365">
        <f t="shared" si="3"/>
        <v>5</v>
      </c>
      <c r="O11" s="63">
        <v>6.0</v>
      </c>
      <c r="P11" s="62">
        <v>6.0</v>
      </c>
      <c r="Q11" s="62">
        <v>6.0</v>
      </c>
      <c r="R11" s="62">
        <v>6.0</v>
      </c>
      <c r="S11" s="62">
        <v>5.0</v>
      </c>
      <c r="T11" s="366">
        <f t="shared" si="4"/>
        <v>5.5</v>
      </c>
      <c r="U11" s="62">
        <v>6.0</v>
      </c>
      <c r="V11" s="62">
        <v>5.0</v>
      </c>
      <c r="W11" s="62">
        <v>6.0</v>
      </c>
      <c r="X11" s="68">
        <f t="shared" si="5"/>
        <v>5.666666667</v>
      </c>
      <c r="Y11" s="63">
        <v>6.0</v>
      </c>
      <c r="Z11" s="62">
        <v>5.0</v>
      </c>
      <c r="AA11" s="63">
        <v>5.0</v>
      </c>
      <c r="AB11" s="212">
        <f t="shared" si="6"/>
        <v>5.416666667</v>
      </c>
      <c r="AC11" s="250">
        <v>5.0</v>
      </c>
      <c r="AD11" s="477">
        <v>6.0</v>
      </c>
      <c r="AE11" s="477">
        <v>6.0</v>
      </c>
      <c r="AF11" s="477">
        <v>6.0</v>
      </c>
      <c r="AG11" s="67">
        <f t="shared" si="7"/>
        <v>6</v>
      </c>
      <c r="AH11" s="250">
        <v>5.0</v>
      </c>
      <c r="AI11" s="250">
        <v>5.0</v>
      </c>
      <c r="AJ11" s="476">
        <v>5.0</v>
      </c>
      <c r="AK11" s="476">
        <v>5.0</v>
      </c>
      <c r="AL11" s="70">
        <f t="shared" si="8"/>
        <v>5</v>
      </c>
      <c r="AM11" s="371">
        <f t="shared" si="9"/>
        <v>5.6</v>
      </c>
      <c r="AN11" s="172"/>
      <c r="AO11" s="172"/>
      <c r="AP11" s="172"/>
      <c r="AQ11" s="172"/>
      <c r="AR11" s="172"/>
      <c r="AS11" s="172"/>
      <c r="AT11" s="172"/>
      <c r="AU11" s="172"/>
    </row>
    <row r="12" ht="15.75" customHeight="1">
      <c r="A12" s="74">
        <v>5.0</v>
      </c>
      <c r="B12" s="475" t="s">
        <v>620</v>
      </c>
      <c r="C12" s="62" t="s">
        <v>44</v>
      </c>
      <c r="D12" s="62">
        <v>4.0</v>
      </c>
      <c r="E12" s="62">
        <v>5.0</v>
      </c>
      <c r="F12" s="305">
        <f t="shared" si="1"/>
        <v>4.5</v>
      </c>
      <c r="G12" s="62">
        <v>5.0</v>
      </c>
      <c r="H12" s="62">
        <v>5.0</v>
      </c>
      <c r="I12" s="85">
        <f t="shared" si="2"/>
        <v>5</v>
      </c>
      <c r="J12" s="62">
        <v>6.0</v>
      </c>
      <c r="K12" s="476">
        <v>4.0</v>
      </c>
      <c r="L12" s="476">
        <v>4.0</v>
      </c>
      <c r="M12" s="476">
        <v>4.0</v>
      </c>
      <c r="N12" s="365">
        <f t="shared" si="3"/>
        <v>4</v>
      </c>
      <c r="O12" s="63">
        <v>5.0</v>
      </c>
      <c r="P12" s="62">
        <v>4.0</v>
      </c>
      <c r="Q12" s="62">
        <v>5.0</v>
      </c>
      <c r="R12" s="62">
        <v>5.0</v>
      </c>
      <c r="S12" s="62">
        <v>5.0</v>
      </c>
      <c r="T12" s="366">
        <f t="shared" si="4"/>
        <v>5</v>
      </c>
      <c r="U12" s="62">
        <v>5.0</v>
      </c>
      <c r="V12" s="62">
        <v>5.0</v>
      </c>
      <c r="W12" s="62">
        <v>5.0</v>
      </c>
      <c r="X12" s="68">
        <f t="shared" si="5"/>
        <v>5</v>
      </c>
      <c r="Y12" s="63">
        <v>4.0</v>
      </c>
      <c r="Z12" s="62">
        <v>5.0</v>
      </c>
      <c r="AA12" s="63">
        <v>5.0</v>
      </c>
      <c r="AB12" s="212">
        <f t="shared" si="6"/>
        <v>4.75</v>
      </c>
      <c r="AC12" s="250">
        <v>5.0</v>
      </c>
      <c r="AD12" s="477">
        <v>5.0</v>
      </c>
      <c r="AE12" s="477">
        <v>5.0</v>
      </c>
      <c r="AF12" s="477">
        <v>5.0</v>
      </c>
      <c r="AG12" s="67">
        <f t="shared" si="7"/>
        <v>5</v>
      </c>
      <c r="AH12" s="250">
        <v>4.0</v>
      </c>
      <c r="AI12" s="250">
        <v>5.0</v>
      </c>
      <c r="AJ12" s="476">
        <v>5.0</v>
      </c>
      <c r="AK12" s="476">
        <v>4.0</v>
      </c>
      <c r="AL12" s="70">
        <f t="shared" si="8"/>
        <v>4.666666667</v>
      </c>
      <c r="AM12" s="371">
        <f t="shared" si="9"/>
        <v>4.566666667</v>
      </c>
      <c r="AN12" s="172"/>
      <c r="AO12" s="172"/>
      <c r="AP12" s="172"/>
      <c r="AQ12" s="172"/>
      <c r="AR12" s="172"/>
      <c r="AS12" s="172"/>
      <c r="AT12" s="172"/>
      <c r="AU12" s="172"/>
    </row>
    <row r="13" ht="15.75" customHeight="1">
      <c r="A13" s="74">
        <v>6.0</v>
      </c>
      <c r="B13" s="438" t="s">
        <v>621</v>
      </c>
      <c r="C13" s="62" t="s">
        <v>44</v>
      </c>
      <c r="D13" s="62">
        <v>3.0</v>
      </c>
      <c r="E13" s="62">
        <v>3.0</v>
      </c>
      <c r="F13" s="305">
        <f t="shared" si="1"/>
        <v>3</v>
      </c>
      <c r="G13" s="62">
        <v>3.0</v>
      </c>
      <c r="H13" s="62">
        <v>3.0</v>
      </c>
      <c r="I13" s="85">
        <f t="shared" si="2"/>
        <v>3</v>
      </c>
      <c r="J13" s="62">
        <v>3.0</v>
      </c>
      <c r="K13" s="476">
        <v>3.0</v>
      </c>
      <c r="L13" s="476">
        <v>3.0</v>
      </c>
      <c r="M13" s="476">
        <v>3.0</v>
      </c>
      <c r="N13" s="365">
        <f t="shared" si="3"/>
        <v>3</v>
      </c>
      <c r="O13" s="63">
        <v>3.0</v>
      </c>
      <c r="P13" s="62">
        <v>3.0</v>
      </c>
      <c r="Q13" s="62">
        <v>3.0</v>
      </c>
      <c r="R13" s="62">
        <v>3.0</v>
      </c>
      <c r="S13" s="62">
        <v>3.0</v>
      </c>
      <c r="T13" s="366">
        <f t="shared" si="4"/>
        <v>3</v>
      </c>
      <c r="U13" s="62">
        <v>3.0</v>
      </c>
      <c r="V13" s="62">
        <v>3.0</v>
      </c>
      <c r="W13" s="62">
        <v>3.0</v>
      </c>
      <c r="X13" s="68">
        <f t="shared" si="5"/>
        <v>3</v>
      </c>
      <c r="Y13" s="63">
        <v>3.0</v>
      </c>
      <c r="Z13" s="62">
        <v>3.0</v>
      </c>
      <c r="AA13" s="63">
        <v>3.0</v>
      </c>
      <c r="AB13" s="212">
        <f t="shared" si="6"/>
        <v>3</v>
      </c>
      <c r="AC13" s="63">
        <v>3.0</v>
      </c>
      <c r="AD13" s="477">
        <v>3.0</v>
      </c>
      <c r="AE13" s="477">
        <v>3.0</v>
      </c>
      <c r="AF13" s="477">
        <v>3.0</v>
      </c>
      <c r="AG13" s="67">
        <f t="shared" si="7"/>
        <v>3</v>
      </c>
      <c r="AH13" s="250">
        <v>3.0</v>
      </c>
      <c r="AI13" s="250">
        <v>3.0</v>
      </c>
      <c r="AJ13" s="476">
        <v>3.0</v>
      </c>
      <c r="AK13" s="476">
        <v>3.0</v>
      </c>
      <c r="AL13" s="70">
        <f t="shared" si="8"/>
        <v>3</v>
      </c>
      <c r="AM13" s="371">
        <f t="shared" si="9"/>
        <v>3</v>
      </c>
      <c r="AN13" s="172"/>
      <c r="AO13" s="172"/>
      <c r="AP13" s="172"/>
      <c r="AQ13" s="172"/>
      <c r="AR13" s="172"/>
      <c r="AS13" s="172"/>
      <c r="AT13" s="172"/>
      <c r="AU13" s="172"/>
    </row>
    <row r="14" ht="15.75" customHeight="1">
      <c r="A14" s="74">
        <v>7.0</v>
      </c>
      <c r="B14" s="475" t="s">
        <v>622</v>
      </c>
      <c r="C14" s="62" t="s">
        <v>45</v>
      </c>
      <c r="D14" s="62">
        <v>5.0</v>
      </c>
      <c r="E14" s="62">
        <v>6.0</v>
      </c>
      <c r="F14" s="305">
        <f t="shared" si="1"/>
        <v>5.5</v>
      </c>
      <c r="G14" s="62">
        <v>6.0</v>
      </c>
      <c r="H14" s="62">
        <v>6.0</v>
      </c>
      <c r="I14" s="85">
        <f t="shared" si="2"/>
        <v>6</v>
      </c>
      <c r="J14" s="62">
        <v>6.0</v>
      </c>
      <c r="K14" s="476">
        <v>6.0</v>
      </c>
      <c r="L14" s="476">
        <v>5.0</v>
      </c>
      <c r="M14" s="476">
        <v>6.0</v>
      </c>
      <c r="N14" s="365">
        <f t="shared" si="3"/>
        <v>5.5</v>
      </c>
      <c r="O14" s="63">
        <v>6.0</v>
      </c>
      <c r="P14" s="62">
        <v>6.0</v>
      </c>
      <c r="Q14" s="62">
        <v>6.0</v>
      </c>
      <c r="R14" s="62">
        <v>5.0</v>
      </c>
      <c r="S14" s="62">
        <v>6.0</v>
      </c>
      <c r="T14" s="366">
        <f t="shared" si="4"/>
        <v>5.5</v>
      </c>
      <c r="U14" s="62">
        <v>5.0</v>
      </c>
      <c r="V14" s="62">
        <v>6.0</v>
      </c>
      <c r="W14" s="62">
        <v>6.0</v>
      </c>
      <c r="X14" s="68">
        <f t="shared" si="5"/>
        <v>5.666666667</v>
      </c>
      <c r="Y14" s="63">
        <v>5.0</v>
      </c>
      <c r="Z14" s="62">
        <v>5.0</v>
      </c>
      <c r="AA14" s="63">
        <v>5.0</v>
      </c>
      <c r="AB14" s="212">
        <f t="shared" si="6"/>
        <v>5.166666667</v>
      </c>
      <c r="AC14" s="250">
        <v>6.0</v>
      </c>
      <c r="AD14" s="477">
        <v>6.0</v>
      </c>
      <c r="AE14" s="477">
        <v>6.0</v>
      </c>
      <c r="AF14" s="477">
        <v>6.0</v>
      </c>
      <c r="AG14" s="67">
        <f t="shared" si="7"/>
        <v>6</v>
      </c>
      <c r="AH14" s="250">
        <v>6.0</v>
      </c>
      <c r="AI14" s="250">
        <v>6.0</v>
      </c>
      <c r="AJ14" s="476">
        <v>6.0</v>
      </c>
      <c r="AK14" s="476">
        <v>5.0</v>
      </c>
      <c r="AL14" s="70">
        <f t="shared" si="8"/>
        <v>5.666666667</v>
      </c>
      <c r="AM14" s="371">
        <f t="shared" si="9"/>
        <v>5.566666667</v>
      </c>
      <c r="AN14" s="172"/>
      <c r="AO14" s="172"/>
      <c r="AP14" s="172"/>
      <c r="AQ14" s="172"/>
      <c r="AR14" s="172"/>
      <c r="AS14" s="172"/>
      <c r="AT14" s="172"/>
      <c r="AU14" s="172"/>
    </row>
    <row r="15" ht="15.75" customHeight="1">
      <c r="A15" s="74">
        <v>8.0</v>
      </c>
      <c r="B15" s="475" t="s">
        <v>623</v>
      </c>
      <c r="C15" s="62" t="s">
        <v>44</v>
      </c>
      <c r="D15" s="62">
        <v>6.0</v>
      </c>
      <c r="E15" s="62">
        <v>6.0</v>
      </c>
      <c r="F15" s="305">
        <f t="shared" si="1"/>
        <v>6</v>
      </c>
      <c r="G15" s="62">
        <v>6.0</v>
      </c>
      <c r="H15" s="62">
        <v>6.0</v>
      </c>
      <c r="I15" s="85">
        <f t="shared" si="2"/>
        <v>6</v>
      </c>
      <c r="J15" s="62">
        <v>6.0</v>
      </c>
      <c r="K15" s="476">
        <v>6.0</v>
      </c>
      <c r="L15" s="476">
        <v>5.0</v>
      </c>
      <c r="M15" s="476">
        <v>6.0</v>
      </c>
      <c r="N15" s="365">
        <f t="shared" si="3"/>
        <v>5.5</v>
      </c>
      <c r="O15" s="63">
        <v>6.0</v>
      </c>
      <c r="P15" s="62">
        <v>6.0</v>
      </c>
      <c r="Q15" s="62">
        <v>6.0</v>
      </c>
      <c r="R15" s="62">
        <v>5.0</v>
      </c>
      <c r="S15" s="62">
        <v>6.0</v>
      </c>
      <c r="T15" s="366">
        <f t="shared" si="4"/>
        <v>5.5</v>
      </c>
      <c r="U15" s="62">
        <v>5.0</v>
      </c>
      <c r="V15" s="62">
        <v>6.0</v>
      </c>
      <c r="W15" s="62">
        <v>6.0</v>
      </c>
      <c r="X15" s="68">
        <f t="shared" si="5"/>
        <v>5.666666667</v>
      </c>
      <c r="Y15" s="63">
        <v>5.0</v>
      </c>
      <c r="Z15" s="62">
        <v>5.0</v>
      </c>
      <c r="AA15" s="63">
        <v>5.0</v>
      </c>
      <c r="AB15" s="212">
        <f t="shared" si="6"/>
        <v>5.166666667</v>
      </c>
      <c r="AC15" s="250">
        <v>6.0</v>
      </c>
      <c r="AD15" s="477">
        <v>6.0</v>
      </c>
      <c r="AE15" s="477">
        <v>6.0</v>
      </c>
      <c r="AF15" s="477">
        <v>6.0</v>
      </c>
      <c r="AG15" s="67">
        <f t="shared" si="7"/>
        <v>6</v>
      </c>
      <c r="AH15" s="250">
        <v>6.0</v>
      </c>
      <c r="AI15" s="250">
        <v>6.0</v>
      </c>
      <c r="AJ15" s="476">
        <v>6.0</v>
      </c>
      <c r="AK15" s="476">
        <v>5.0</v>
      </c>
      <c r="AL15" s="70">
        <f t="shared" si="8"/>
        <v>5.666666667</v>
      </c>
      <c r="AM15" s="371">
        <f t="shared" si="9"/>
        <v>5.566666667</v>
      </c>
      <c r="AN15" s="172"/>
      <c r="AO15" s="172"/>
      <c r="AP15" s="172"/>
      <c r="AQ15" s="172"/>
      <c r="AR15" s="172"/>
      <c r="AS15" s="172"/>
      <c r="AT15" s="172"/>
      <c r="AU15" s="172"/>
    </row>
    <row r="16" ht="15.75" customHeight="1">
      <c r="A16" s="74">
        <v>9.0</v>
      </c>
      <c r="B16" s="475" t="s">
        <v>624</v>
      </c>
      <c r="C16" s="62" t="s">
        <v>45</v>
      </c>
      <c r="D16" s="65">
        <v>5.0</v>
      </c>
      <c r="E16" s="65">
        <v>5.0</v>
      </c>
      <c r="F16" s="305">
        <f t="shared" si="1"/>
        <v>5</v>
      </c>
      <c r="G16" s="65">
        <v>5.0</v>
      </c>
      <c r="H16" s="65">
        <v>5.0</v>
      </c>
      <c r="I16" s="85">
        <f t="shared" si="2"/>
        <v>5</v>
      </c>
      <c r="J16" s="65">
        <v>6.0</v>
      </c>
      <c r="K16" s="65">
        <v>5.0</v>
      </c>
      <c r="L16" s="65">
        <v>5.0</v>
      </c>
      <c r="M16" s="65">
        <v>5.0</v>
      </c>
      <c r="N16" s="365">
        <f t="shared" si="3"/>
        <v>5</v>
      </c>
      <c r="O16" s="63">
        <v>5.0</v>
      </c>
      <c r="P16" s="65">
        <v>5.0</v>
      </c>
      <c r="Q16" s="65">
        <v>5.0</v>
      </c>
      <c r="R16" s="65">
        <v>5.0</v>
      </c>
      <c r="S16" s="65">
        <v>5.0</v>
      </c>
      <c r="T16" s="366">
        <f t="shared" si="4"/>
        <v>5</v>
      </c>
      <c r="U16" s="65">
        <v>5.0</v>
      </c>
      <c r="V16" s="65">
        <v>5.0</v>
      </c>
      <c r="W16" s="65">
        <v>5.0</v>
      </c>
      <c r="X16" s="68">
        <f t="shared" si="5"/>
        <v>5</v>
      </c>
      <c r="Y16" s="65">
        <v>5.0</v>
      </c>
      <c r="Z16" s="65">
        <v>5.0</v>
      </c>
      <c r="AA16" s="65">
        <v>5.0</v>
      </c>
      <c r="AB16" s="212">
        <f t="shared" si="6"/>
        <v>5</v>
      </c>
      <c r="AC16" s="65">
        <v>5.0</v>
      </c>
      <c r="AD16" s="65">
        <v>5.0</v>
      </c>
      <c r="AE16" s="65">
        <v>5.0</v>
      </c>
      <c r="AF16" s="65">
        <v>5.0</v>
      </c>
      <c r="AG16" s="67">
        <f t="shared" si="7"/>
        <v>5</v>
      </c>
      <c r="AH16" s="65">
        <v>6.0</v>
      </c>
      <c r="AI16" s="65">
        <v>6.0</v>
      </c>
      <c r="AJ16" s="65">
        <v>6.0</v>
      </c>
      <c r="AK16" s="65">
        <v>4.0</v>
      </c>
      <c r="AL16" s="70">
        <f t="shared" si="8"/>
        <v>5.333333333</v>
      </c>
      <c r="AM16" s="371">
        <f t="shared" si="9"/>
        <v>5.133333333</v>
      </c>
      <c r="AN16" s="172"/>
      <c r="AO16" s="172"/>
      <c r="AP16" s="172"/>
      <c r="AQ16" s="172"/>
      <c r="AR16" s="172"/>
      <c r="AS16" s="172"/>
      <c r="AT16" s="172"/>
      <c r="AU16" s="172"/>
    </row>
    <row r="17" ht="15.75" customHeight="1">
      <c r="A17" s="74">
        <v>10.0</v>
      </c>
      <c r="B17" s="475" t="s">
        <v>625</v>
      </c>
      <c r="C17" s="62" t="s">
        <v>44</v>
      </c>
      <c r="D17" s="62">
        <v>5.0</v>
      </c>
      <c r="E17" s="62">
        <v>6.0</v>
      </c>
      <c r="F17" s="305">
        <f t="shared" si="1"/>
        <v>5.5</v>
      </c>
      <c r="G17" s="62">
        <v>6.0</v>
      </c>
      <c r="H17" s="62">
        <v>6.0</v>
      </c>
      <c r="I17" s="85">
        <f t="shared" si="2"/>
        <v>6</v>
      </c>
      <c r="J17" s="62">
        <v>6.0</v>
      </c>
      <c r="K17" s="476">
        <v>6.0</v>
      </c>
      <c r="L17" s="476">
        <v>5.0</v>
      </c>
      <c r="M17" s="476">
        <v>6.0</v>
      </c>
      <c r="N17" s="365">
        <f t="shared" si="3"/>
        <v>5.5</v>
      </c>
      <c r="O17" s="63">
        <v>6.0</v>
      </c>
      <c r="P17" s="62">
        <v>6.0</v>
      </c>
      <c r="Q17" s="62">
        <v>6.0</v>
      </c>
      <c r="R17" s="62">
        <v>5.0</v>
      </c>
      <c r="S17" s="62">
        <v>6.0</v>
      </c>
      <c r="T17" s="366">
        <f t="shared" si="4"/>
        <v>5.5</v>
      </c>
      <c r="U17" s="62">
        <v>5.0</v>
      </c>
      <c r="V17" s="62">
        <v>6.0</v>
      </c>
      <c r="W17" s="62">
        <v>6.0</v>
      </c>
      <c r="X17" s="68">
        <f t="shared" si="5"/>
        <v>5.666666667</v>
      </c>
      <c r="Y17" s="63">
        <v>5.0</v>
      </c>
      <c r="Z17" s="62">
        <v>5.0</v>
      </c>
      <c r="AA17" s="63">
        <v>5.0</v>
      </c>
      <c r="AB17" s="212">
        <f t="shared" si="6"/>
        <v>5.166666667</v>
      </c>
      <c r="AC17" s="250">
        <v>6.0</v>
      </c>
      <c r="AD17" s="477">
        <v>6.0</v>
      </c>
      <c r="AE17" s="477">
        <v>6.0</v>
      </c>
      <c r="AF17" s="477">
        <v>6.0</v>
      </c>
      <c r="AG17" s="67">
        <f t="shared" si="7"/>
        <v>6</v>
      </c>
      <c r="AH17" s="250">
        <v>6.0</v>
      </c>
      <c r="AI17" s="250">
        <v>6.0</v>
      </c>
      <c r="AJ17" s="476">
        <v>6.0</v>
      </c>
      <c r="AK17" s="476">
        <v>5.0</v>
      </c>
      <c r="AL17" s="70">
        <f t="shared" si="8"/>
        <v>5.666666667</v>
      </c>
      <c r="AM17" s="371">
        <f t="shared" si="9"/>
        <v>5.566666667</v>
      </c>
      <c r="AN17" s="172"/>
      <c r="AO17" s="172"/>
      <c r="AP17" s="172"/>
      <c r="AQ17" s="172"/>
      <c r="AR17" s="172"/>
      <c r="AS17" s="172"/>
      <c r="AT17" s="172"/>
      <c r="AU17" s="172"/>
    </row>
    <row r="18" ht="15.75" customHeight="1">
      <c r="A18" s="74">
        <v>11.0</v>
      </c>
      <c r="B18" s="475" t="s">
        <v>626</v>
      </c>
      <c r="C18" s="62" t="s">
        <v>44</v>
      </c>
      <c r="D18" s="62">
        <v>3.0</v>
      </c>
      <c r="E18" s="62">
        <v>4.0</v>
      </c>
      <c r="F18" s="305">
        <f t="shared" si="1"/>
        <v>3.5</v>
      </c>
      <c r="G18" s="62">
        <v>4.0</v>
      </c>
      <c r="H18" s="62">
        <v>4.0</v>
      </c>
      <c r="I18" s="85">
        <f t="shared" si="2"/>
        <v>4</v>
      </c>
      <c r="J18" s="62">
        <v>3.0</v>
      </c>
      <c r="K18" s="476">
        <v>3.0</v>
      </c>
      <c r="L18" s="476">
        <v>4.0</v>
      </c>
      <c r="M18" s="476">
        <v>4.0</v>
      </c>
      <c r="N18" s="365">
        <f t="shared" si="3"/>
        <v>4</v>
      </c>
      <c r="O18" s="63">
        <v>4.0</v>
      </c>
      <c r="P18" s="62">
        <v>4.0</v>
      </c>
      <c r="Q18" s="62">
        <v>4.0</v>
      </c>
      <c r="R18" s="62">
        <v>4.0</v>
      </c>
      <c r="S18" s="62">
        <v>4.0</v>
      </c>
      <c r="T18" s="366">
        <f t="shared" si="4"/>
        <v>4</v>
      </c>
      <c r="U18" s="62">
        <v>4.0</v>
      </c>
      <c r="V18" s="62">
        <v>4.0</v>
      </c>
      <c r="W18" s="62">
        <v>4.0</v>
      </c>
      <c r="X18" s="68">
        <f t="shared" si="5"/>
        <v>4</v>
      </c>
      <c r="Y18" s="63">
        <v>4.0</v>
      </c>
      <c r="Z18" s="62">
        <v>4.0</v>
      </c>
      <c r="AA18" s="63">
        <v>4.0</v>
      </c>
      <c r="AB18" s="212">
        <f t="shared" si="6"/>
        <v>4</v>
      </c>
      <c r="AC18" s="250">
        <v>5.0</v>
      </c>
      <c r="AD18" s="477">
        <v>5.0</v>
      </c>
      <c r="AE18" s="477">
        <v>5.0</v>
      </c>
      <c r="AF18" s="477">
        <v>5.0</v>
      </c>
      <c r="AG18" s="67">
        <f t="shared" si="7"/>
        <v>5</v>
      </c>
      <c r="AH18" s="250">
        <v>3.0</v>
      </c>
      <c r="AI18" s="250">
        <v>3.0</v>
      </c>
      <c r="AJ18" s="476">
        <v>3.0</v>
      </c>
      <c r="AK18" s="476">
        <v>3.0</v>
      </c>
      <c r="AL18" s="70">
        <f t="shared" si="8"/>
        <v>3</v>
      </c>
      <c r="AM18" s="371">
        <f t="shared" si="9"/>
        <v>3.9</v>
      </c>
      <c r="AN18" s="172"/>
      <c r="AO18" s="172"/>
      <c r="AP18" s="172"/>
      <c r="AQ18" s="172"/>
      <c r="AR18" s="172"/>
      <c r="AS18" s="172"/>
      <c r="AT18" s="172"/>
      <c r="AU18" s="172"/>
    </row>
    <row r="19" ht="15.75" customHeight="1">
      <c r="A19" s="74">
        <v>12.0</v>
      </c>
      <c r="B19" s="438" t="s">
        <v>627</v>
      </c>
      <c r="C19" s="62" t="s">
        <v>44</v>
      </c>
      <c r="D19" s="62">
        <v>3.0</v>
      </c>
      <c r="E19" s="62">
        <v>3.0</v>
      </c>
      <c r="F19" s="305">
        <f t="shared" si="1"/>
        <v>3</v>
      </c>
      <c r="G19" s="62">
        <v>3.0</v>
      </c>
      <c r="H19" s="62">
        <v>3.0</v>
      </c>
      <c r="I19" s="85">
        <f t="shared" si="2"/>
        <v>3</v>
      </c>
      <c r="J19" s="62">
        <v>3.0</v>
      </c>
      <c r="K19" s="476">
        <v>3.0</v>
      </c>
      <c r="L19" s="476">
        <v>3.0</v>
      </c>
      <c r="M19" s="476">
        <v>3.0</v>
      </c>
      <c r="N19" s="365">
        <f t="shared" si="3"/>
        <v>3</v>
      </c>
      <c r="O19" s="63">
        <v>3.0</v>
      </c>
      <c r="P19" s="62">
        <v>3.0</v>
      </c>
      <c r="Q19" s="62">
        <v>3.0</v>
      </c>
      <c r="R19" s="62">
        <v>3.0</v>
      </c>
      <c r="S19" s="62">
        <v>3.0</v>
      </c>
      <c r="T19" s="366">
        <f t="shared" si="4"/>
        <v>3</v>
      </c>
      <c r="U19" s="62">
        <v>3.0</v>
      </c>
      <c r="V19" s="62">
        <v>3.0</v>
      </c>
      <c r="W19" s="62">
        <v>3.0</v>
      </c>
      <c r="X19" s="68">
        <f t="shared" si="5"/>
        <v>3</v>
      </c>
      <c r="Y19" s="63">
        <v>3.0</v>
      </c>
      <c r="Z19" s="62">
        <v>3.0</v>
      </c>
      <c r="AA19" s="63">
        <v>3.0</v>
      </c>
      <c r="AB19" s="212">
        <f t="shared" si="6"/>
        <v>3</v>
      </c>
      <c r="AC19" s="250">
        <v>4.0</v>
      </c>
      <c r="AD19" s="477">
        <v>4.0</v>
      </c>
      <c r="AE19" s="477">
        <v>4.0</v>
      </c>
      <c r="AF19" s="477">
        <v>4.0</v>
      </c>
      <c r="AG19" s="67">
        <f t="shared" si="7"/>
        <v>4</v>
      </c>
      <c r="AH19" s="250">
        <v>3.0</v>
      </c>
      <c r="AI19" s="250">
        <v>3.0</v>
      </c>
      <c r="AJ19" s="476">
        <v>3.0</v>
      </c>
      <c r="AK19" s="476">
        <v>3.0</v>
      </c>
      <c r="AL19" s="70">
        <f t="shared" si="8"/>
        <v>3</v>
      </c>
      <c r="AM19" s="371">
        <f t="shared" si="9"/>
        <v>3.1</v>
      </c>
      <c r="AN19" s="172"/>
      <c r="AO19" s="172"/>
      <c r="AP19" s="172"/>
      <c r="AQ19" s="172"/>
      <c r="AR19" s="172"/>
      <c r="AS19" s="172"/>
      <c r="AT19" s="172"/>
      <c r="AU19" s="172"/>
    </row>
    <row r="20" ht="15.75" customHeight="1">
      <c r="A20" s="74">
        <v>13.0</v>
      </c>
      <c r="B20" s="475" t="s">
        <v>628</v>
      </c>
      <c r="C20" s="62" t="s">
        <v>44</v>
      </c>
      <c r="D20" s="62">
        <v>4.0</v>
      </c>
      <c r="E20" s="62">
        <v>4.0</v>
      </c>
      <c r="F20" s="305">
        <f t="shared" si="1"/>
        <v>4</v>
      </c>
      <c r="G20" s="62">
        <v>4.0</v>
      </c>
      <c r="H20" s="62">
        <v>4.0</v>
      </c>
      <c r="I20" s="85">
        <f t="shared" si="2"/>
        <v>4</v>
      </c>
      <c r="J20" s="62">
        <v>3.0</v>
      </c>
      <c r="K20" s="476">
        <v>3.0</v>
      </c>
      <c r="L20" s="476">
        <v>4.0</v>
      </c>
      <c r="M20" s="476">
        <v>4.0</v>
      </c>
      <c r="N20" s="365">
        <f t="shared" si="3"/>
        <v>4</v>
      </c>
      <c r="O20" s="63">
        <v>4.0</v>
      </c>
      <c r="P20" s="62">
        <v>4.0</v>
      </c>
      <c r="Q20" s="62">
        <v>4.0</v>
      </c>
      <c r="R20" s="62">
        <v>4.0</v>
      </c>
      <c r="S20" s="62">
        <v>4.0</v>
      </c>
      <c r="T20" s="366">
        <f t="shared" si="4"/>
        <v>4</v>
      </c>
      <c r="U20" s="62">
        <v>4.0</v>
      </c>
      <c r="V20" s="62">
        <v>4.0</v>
      </c>
      <c r="W20" s="62">
        <v>4.0</v>
      </c>
      <c r="X20" s="68">
        <f t="shared" si="5"/>
        <v>4</v>
      </c>
      <c r="Y20" s="63">
        <v>4.0</v>
      </c>
      <c r="Z20" s="62">
        <v>4.0</v>
      </c>
      <c r="AA20" s="63">
        <v>4.0</v>
      </c>
      <c r="AB20" s="212">
        <f t="shared" si="6"/>
        <v>4</v>
      </c>
      <c r="AC20" s="250">
        <v>5.0</v>
      </c>
      <c r="AD20" s="477">
        <v>5.0</v>
      </c>
      <c r="AE20" s="477">
        <v>5.0</v>
      </c>
      <c r="AF20" s="477">
        <v>5.0</v>
      </c>
      <c r="AG20" s="67">
        <f t="shared" si="7"/>
        <v>5</v>
      </c>
      <c r="AH20" s="250">
        <v>3.0</v>
      </c>
      <c r="AI20" s="250">
        <v>3.0</v>
      </c>
      <c r="AJ20" s="476">
        <v>3.0</v>
      </c>
      <c r="AK20" s="476">
        <v>3.0</v>
      </c>
      <c r="AL20" s="70">
        <f t="shared" si="8"/>
        <v>3</v>
      </c>
      <c r="AM20" s="371">
        <f t="shared" si="9"/>
        <v>3.9</v>
      </c>
      <c r="AN20" s="172"/>
      <c r="AO20" s="172"/>
      <c r="AP20" s="172"/>
      <c r="AQ20" s="172"/>
      <c r="AR20" s="172"/>
      <c r="AS20" s="172"/>
      <c r="AT20" s="172"/>
      <c r="AU20" s="172"/>
    </row>
    <row r="21" ht="15.75" customHeight="1">
      <c r="A21" s="74">
        <v>14.0</v>
      </c>
      <c r="B21" s="478" t="s">
        <v>629</v>
      </c>
      <c r="C21" s="62" t="s">
        <v>44</v>
      </c>
      <c r="D21" s="62">
        <v>4.0</v>
      </c>
      <c r="E21" s="62">
        <v>4.0</v>
      </c>
      <c r="F21" s="305">
        <f t="shared" si="1"/>
        <v>4</v>
      </c>
      <c r="G21" s="62">
        <v>4.0</v>
      </c>
      <c r="H21" s="62">
        <v>4.0</v>
      </c>
      <c r="I21" s="85">
        <f t="shared" si="2"/>
        <v>4</v>
      </c>
      <c r="J21" s="62">
        <v>3.0</v>
      </c>
      <c r="K21" s="476">
        <v>3.0</v>
      </c>
      <c r="L21" s="476">
        <v>4.0</v>
      </c>
      <c r="M21" s="476">
        <v>4.0</v>
      </c>
      <c r="N21" s="365">
        <f t="shared" si="3"/>
        <v>4</v>
      </c>
      <c r="O21" s="63">
        <v>4.0</v>
      </c>
      <c r="P21" s="62">
        <v>4.0</v>
      </c>
      <c r="Q21" s="62">
        <v>4.0</v>
      </c>
      <c r="R21" s="62">
        <v>4.0</v>
      </c>
      <c r="S21" s="62">
        <v>4.0</v>
      </c>
      <c r="T21" s="366">
        <f t="shared" si="4"/>
        <v>4</v>
      </c>
      <c r="U21" s="62">
        <v>4.0</v>
      </c>
      <c r="V21" s="62">
        <v>4.0</v>
      </c>
      <c r="W21" s="62">
        <v>4.0</v>
      </c>
      <c r="X21" s="68">
        <f t="shared" si="5"/>
        <v>4</v>
      </c>
      <c r="Y21" s="63">
        <v>4.0</v>
      </c>
      <c r="Z21" s="62">
        <v>4.0</v>
      </c>
      <c r="AA21" s="63">
        <v>4.0</v>
      </c>
      <c r="AB21" s="212">
        <f t="shared" si="6"/>
        <v>4</v>
      </c>
      <c r="AC21" s="250">
        <v>5.0</v>
      </c>
      <c r="AD21" s="477">
        <v>5.0</v>
      </c>
      <c r="AE21" s="477">
        <v>5.0</v>
      </c>
      <c r="AF21" s="477">
        <v>5.0</v>
      </c>
      <c r="AG21" s="67">
        <f t="shared" si="7"/>
        <v>5</v>
      </c>
      <c r="AH21" s="250">
        <v>3.0</v>
      </c>
      <c r="AI21" s="250">
        <v>3.0</v>
      </c>
      <c r="AJ21" s="476">
        <v>3.0</v>
      </c>
      <c r="AK21" s="476">
        <v>3.0</v>
      </c>
      <c r="AL21" s="70">
        <f t="shared" si="8"/>
        <v>3</v>
      </c>
      <c r="AM21" s="371">
        <f t="shared" si="9"/>
        <v>3.9</v>
      </c>
      <c r="AN21" s="172"/>
      <c r="AO21" s="172"/>
      <c r="AP21" s="172"/>
      <c r="AQ21" s="172"/>
      <c r="AR21" s="172"/>
      <c r="AS21" s="172"/>
      <c r="AT21" s="172"/>
      <c r="AU21" s="172"/>
    </row>
    <row r="22" ht="15.75" customHeight="1">
      <c r="A22" s="74">
        <v>15.0</v>
      </c>
      <c r="B22" s="479" t="s">
        <v>630</v>
      </c>
      <c r="C22" s="62" t="s">
        <v>44</v>
      </c>
      <c r="D22" s="62">
        <v>6.0</v>
      </c>
      <c r="E22" s="62">
        <v>6.0</v>
      </c>
      <c r="F22" s="305">
        <f t="shared" si="1"/>
        <v>6</v>
      </c>
      <c r="G22" s="62">
        <v>6.0</v>
      </c>
      <c r="H22" s="62">
        <v>6.0</v>
      </c>
      <c r="I22" s="85">
        <f t="shared" si="2"/>
        <v>6</v>
      </c>
      <c r="J22" s="62">
        <v>6.0</v>
      </c>
      <c r="K22" s="476">
        <v>6.0</v>
      </c>
      <c r="L22" s="476">
        <v>5.0</v>
      </c>
      <c r="M22" s="476">
        <v>6.0</v>
      </c>
      <c r="N22" s="365">
        <f t="shared" si="3"/>
        <v>5.5</v>
      </c>
      <c r="O22" s="63">
        <v>6.0</v>
      </c>
      <c r="P22" s="62">
        <v>6.0</v>
      </c>
      <c r="Q22" s="62">
        <v>6.0</v>
      </c>
      <c r="R22" s="62">
        <v>5.0</v>
      </c>
      <c r="S22" s="62">
        <v>6.0</v>
      </c>
      <c r="T22" s="366">
        <f t="shared" si="4"/>
        <v>5.5</v>
      </c>
      <c r="U22" s="62">
        <v>5.0</v>
      </c>
      <c r="V22" s="62">
        <v>6.0</v>
      </c>
      <c r="W22" s="62">
        <v>6.0</v>
      </c>
      <c r="X22" s="68">
        <f t="shared" si="5"/>
        <v>5.666666667</v>
      </c>
      <c r="Y22" s="63">
        <v>5.0</v>
      </c>
      <c r="Z22" s="62">
        <v>5.0</v>
      </c>
      <c r="AA22" s="63">
        <v>5.0</v>
      </c>
      <c r="AB22" s="212">
        <f t="shared" si="6"/>
        <v>5.166666667</v>
      </c>
      <c r="AC22" s="250">
        <v>6.0</v>
      </c>
      <c r="AD22" s="477">
        <v>6.0</v>
      </c>
      <c r="AE22" s="477">
        <v>6.0</v>
      </c>
      <c r="AF22" s="477">
        <v>6.0</v>
      </c>
      <c r="AG22" s="67">
        <f t="shared" si="7"/>
        <v>6</v>
      </c>
      <c r="AH22" s="250">
        <v>6.0</v>
      </c>
      <c r="AI22" s="250">
        <v>6.0</v>
      </c>
      <c r="AJ22" s="476">
        <v>6.0</v>
      </c>
      <c r="AK22" s="476">
        <v>5.0</v>
      </c>
      <c r="AL22" s="70">
        <f t="shared" si="8"/>
        <v>5.666666667</v>
      </c>
      <c r="AM22" s="371">
        <f t="shared" si="9"/>
        <v>5.566666667</v>
      </c>
      <c r="AN22" s="172"/>
      <c r="AO22" s="172"/>
      <c r="AP22" s="172"/>
      <c r="AQ22" s="172"/>
      <c r="AR22" s="172"/>
      <c r="AS22" s="172"/>
      <c r="AT22" s="172"/>
      <c r="AU22" s="172"/>
    </row>
    <row r="23" ht="15.75" customHeight="1">
      <c r="A23" s="74">
        <v>16.0</v>
      </c>
      <c r="B23" s="475" t="s">
        <v>631</v>
      </c>
      <c r="C23" s="62" t="s">
        <v>44</v>
      </c>
      <c r="D23" s="65">
        <v>5.0</v>
      </c>
      <c r="E23" s="65">
        <v>5.0</v>
      </c>
      <c r="F23" s="305">
        <f t="shared" si="1"/>
        <v>5</v>
      </c>
      <c r="G23" s="65">
        <v>5.0</v>
      </c>
      <c r="H23" s="65">
        <v>5.0</v>
      </c>
      <c r="I23" s="85">
        <f t="shared" si="2"/>
        <v>5</v>
      </c>
      <c r="J23" s="65">
        <v>6.0</v>
      </c>
      <c r="K23" s="65">
        <v>5.0</v>
      </c>
      <c r="L23" s="65">
        <v>5.0</v>
      </c>
      <c r="M23" s="65">
        <v>5.0</v>
      </c>
      <c r="N23" s="365">
        <f t="shared" si="3"/>
        <v>5</v>
      </c>
      <c r="O23" s="63">
        <v>5.0</v>
      </c>
      <c r="P23" s="65">
        <v>5.0</v>
      </c>
      <c r="Q23" s="65">
        <v>5.0</v>
      </c>
      <c r="R23" s="65">
        <v>5.0</v>
      </c>
      <c r="S23" s="65">
        <v>5.0</v>
      </c>
      <c r="T23" s="366">
        <f t="shared" si="4"/>
        <v>5</v>
      </c>
      <c r="U23" s="65">
        <v>5.0</v>
      </c>
      <c r="V23" s="65">
        <v>5.0</v>
      </c>
      <c r="W23" s="65">
        <v>5.0</v>
      </c>
      <c r="X23" s="68">
        <f t="shared" si="5"/>
        <v>5</v>
      </c>
      <c r="Y23" s="65">
        <v>5.0</v>
      </c>
      <c r="Z23" s="65">
        <v>5.0</v>
      </c>
      <c r="AA23" s="65">
        <v>5.0</v>
      </c>
      <c r="AB23" s="212">
        <f t="shared" si="6"/>
        <v>5</v>
      </c>
      <c r="AC23" s="65">
        <v>5.0</v>
      </c>
      <c r="AD23" s="65">
        <v>5.0</v>
      </c>
      <c r="AE23" s="65">
        <v>5.0</v>
      </c>
      <c r="AF23" s="65">
        <v>5.0</v>
      </c>
      <c r="AG23" s="67">
        <f t="shared" si="7"/>
        <v>5</v>
      </c>
      <c r="AH23" s="65">
        <v>6.0</v>
      </c>
      <c r="AI23" s="65">
        <v>6.0</v>
      </c>
      <c r="AJ23" s="65">
        <v>6.0</v>
      </c>
      <c r="AK23" s="65">
        <v>4.0</v>
      </c>
      <c r="AL23" s="70">
        <f t="shared" si="8"/>
        <v>5.333333333</v>
      </c>
      <c r="AM23" s="371">
        <f t="shared" si="9"/>
        <v>5.133333333</v>
      </c>
      <c r="AN23" s="172"/>
      <c r="AO23" s="172"/>
      <c r="AP23" s="172"/>
      <c r="AQ23" s="172"/>
      <c r="AR23" s="172"/>
      <c r="AS23" s="172"/>
      <c r="AT23" s="172"/>
      <c r="AU23" s="172"/>
    </row>
    <row r="24" ht="15.75" customHeight="1">
      <c r="A24" s="74">
        <v>17.0</v>
      </c>
      <c r="B24" s="475" t="s">
        <v>632</v>
      </c>
      <c r="C24" s="62" t="s">
        <v>44</v>
      </c>
      <c r="D24" s="65">
        <v>5.0</v>
      </c>
      <c r="E24" s="65">
        <v>5.0</v>
      </c>
      <c r="F24" s="305">
        <f t="shared" si="1"/>
        <v>5</v>
      </c>
      <c r="G24" s="65">
        <v>5.0</v>
      </c>
      <c r="H24" s="65">
        <v>5.0</v>
      </c>
      <c r="I24" s="85">
        <f t="shared" si="2"/>
        <v>5</v>
      </c>
      <c r="J24" s="65">
        <v>6.0</v>
      </c>
      <c r="K24" s="65">
        <v>5.0</v>
      </c>
      <c r="L24" s="65">
        <v>5.0</v>
      </c>
      <c r="M24" s="65">
        <v>5.0</v>
      </c>
      <c r="N24" s="365">
        <f t="shared" si="3"/>
        <v>5</v>
      </c>
      <c r="O24" s="63">
        <v>5.0</v>
      </c>
      <c r="P24" s="65">
        <v>5.0</v>
      </c>
      <c r="Q24" s="65">
        <v>5.0</v>
      </c>
      <c r="R24" s="65">
        <v>5.0</v>
      </c>
      <c r="S24" s="65">
        <v>5.0</v>
      </c>
      <c r="T24" s="366">
        <f t="shared" si="4"/>
        <v>5</v>
      </c>
      <c r="U24" s="65">
        <v>5.0</v>
      </c>
      <c r="V24" s="65">
        <v>5.0</v>
      </c>
      <c r="W24" s="65">
        <v>5.0</v>
      </c>
      <c r="X24" s="68">
        <f t="shared" si="5"/>
        <v>5</v>
      </c>
      <c r="Y24" s="65">
        <v>5.0</v>
      </c>
      <c r="Z24" s="65">
        <v>5.0</v>
      </c>
      <c r="AA24" s="65">
        <v>5.0</v>
      </c>
      <c r="AB24" s="212">
        <f t="shared" si="6"/>
        <v>5</v>
      </c>
      <c r="AC24" s="65">
        <v>5.0</v>
      </c>
      <c r="AD24" s="65">
        <v>5.0</v>
      </c>
      <c r="AE24" s="65">
        <v>5.0</v>
      </c>
      <c r="AF24" s="65">
        <v>5.0</v>
      </c>
      <c r="AG24" s="67">
        <f t="shared" si="7"/>
        <v>5</v>
      </c>
      <c r="AH24" s="65">
        <v>6.0</v>
      </c>
      <c r="AI24" s="65">
        <v>6.0</v>
      </c>
      <c r="AJ24" s="65">
        <v>6.0</v>
      </c>
      <c r="AK24" s="65">
        <v>4.0</v>
      </c>
      <c r="AL24" s="70">
        <f t="shared" si="8"/>
        <v>5.333333333</v>
      </c>
      <c r="AM24" s="371">
        <f t="shared" si="9"/>
        <v>5.133333333</v>
      </c>
      <c r="AN24" s="172"/>
      <c r="AO24" s="172"/>
      <c r="AP24" s="172"/>
      <c r="AQ24" s="172"/>
      <c r="AR24" s="172"/>
      <c r="AS24" s="172"/>
      <c r="AT24" s="172"/>
      <c r="AU24" s="172"/>
    </row>
    <row r="25" ht="15.75" customHeight="1">
      <c r="A25" s="74">
        <v>18.0</v>
      </c>
      <c r="B25" s="475" t="s">
        <v>633</v>
      </c>
      <c r="C25" s="62" t="s">
        <v>44</v>
      </c>
      <c r="D25" s="62">
        <v>6.0</v>
      </c>
      <c r="E25" s="62">
        <v>6.0</v>
      </c>
      <c r="F25" s="305">
        <f t="shared" si="1"/>
        <v>6</v>
      </c>
      <c r="G25" s="62">
        <v>6.0</v>
      </c>
      <c r="H25" s="62">
        <v>6.0</v>
      </c>
      <c r="I25" s="85">
        <f t="shared" si="2"/>
        <v>6</v>
      </c>
      <c r="J25" s="62">
        <v>6.0</v>
      </c>
      <c r="K25" s="476">
        <v>6.0</v>
      </c>
      <c r="L25" s="476">
        <v>5.0</v>
      </c>
      <c r="M25" s="476">
        <v>6.0</v>
      </c>
      <c r="N25" s="365">
        <f t="shared" si="3"/>
        <v>5.5</v>
      </c>
      <c r="O25" s="63">
        <v>6.0</v>
      </c>
      <c r="P25" s="62">
        <v>6.0</v>
      </c>
      <c r="Q25" s="62">
        <v>6.0</v>
      </c>
      <c r="R25" s="62">
        <v>5.0</v>
      </c>
      <c r="S25" s="62">
        <v>6.0</v>
      </c>
      <c r="T25" s="366">
        <f t="shared" si="4"/>
        <v>5.5</v>
      </c>
      <c r="U25" s="62">
        <v>5.0</v>
      </c>
      <c r="V25" s="62">
        <v>6.0</v>
      </c>
      <c r="W25" s="62">
        <v>6.0</v>
      </c>
      <c r="X25" s="68">
        <f t="shared" si="5"/>
        <v>5.666666667</v>
      </c>
      <c r="Y25" s="63">
        <v>5.0</v>
      </c>
      <c r="Z25" s="62">
        <v>5.0</v>
      </c>
      <c r="AA25" s="63">
        <v>5.0</v>
      </c>
      <c r="AB25" s="212">
        <f t="shared" si="6"/>
        <v>5.166666667</v>
      </c>
      <c r="AC25" s="250">
        <v>6.0</v>
      </c>
      <c r="AD25" s="477">
        <v>6.0</v>
      </c>
      <c r="AE25" s="477">
        <v>6.0</v>
      </c>
      <c r="AF25" s="477">
        <v>6.0</v>
      </c>
      <c r="AG25" s="67">
        <f t="shared" si="7"/>
        <v>6</v>
      </c>
      <c r="AH25" s="250">
        <v>6.0</v>
      </c>
      <c r="AI25" s="250">
        <v>6.0</v>
      </c>
      <c r="AJ25" s="476">
        <v>6.0</v>
      </c>
      <c r="AK25" s="476">
        <v>5.0</v>
      </c>
      <c r="AL25" s="70">
        <f t="shared" si="8"/>
        <v>5.666666667</v>
      </c>
      <c r="AM25" s="371">
        <f t="shared" si="9"/>
        <v>5.566666667</v>
      </c>
      <c r="AN25" s="172"/>
      <c r="AO25" s="172"/>
      <c r="AP25" s="172"/>
      <c r="AQ25" s="172"/>
      <c r="AR25" s="172"/>
      <c r="AS25" s="172"/>
      <c r="AT25" s="172"/>
      <c r="AU25" s="172"/>
    </row>
    <row r="26" ht="15.75" customHeight="1">
      <c r="A26" s="74">
        <v>19.0</v>
      </c>
      <c r="B26" s="131" t="s">
        <v>634</v>
      </c>
      <c r="C26" s="62" t="s">
        <v>44</v>
      </c>
      <c r="D26" s="62">
        <v>3.0</v>
      </c>
      <c r="E26" s="62">
        <v>3.0</v>
      </c>
      <c r="F26" s="305">
        <f t="shared" si="1"/>
        <v>3</v>
      </c>
      <c r="G26" s="62">
        <v>3.0</v>
      </c>
      <c r="H26" s="62">
        <v>3.0</v>
      </c>
      <c r="I26" s="85">
        <f t="shared" si="2"/>
        <v>3</v>
      </c>
      <c r="J26" s="62">
        <v>3.0</v>
      </c>
      <c r="K26" s="476">
        <v>3.0</v>
      </c>
      <c r="L26" s="476">
        <v>3.0</v>
      </c>
      <c r="M26" s="476">
        <v>3.0</v>
      </c>
      <c r="N26" s="365">
        <f t="shared" si="3"/>
        <v>3</v>
      </c>
      <c r="O26" s="63">
        <v>3.0</v>
      </c>
      <c r="P26" s="62">
        <v>3.0</v>
      </c>
      <c r="Q26" s="62">
        <v>3.0</v>
      </c>
      <c r="R26" s="62">
        <v>3.0</v>
      </c>
      <c r="S26" s="62">
        <v>3.0</v>
      </c>
      <c r="T26" s="366">
        <f t="shared" si="4"/>
        <v>3</v>
      </c>
      <c r="U26" s="62">
        <v>3.0</v>
      </c>
      <c r="V26" s="62">
        <v>3.0</v>
      </c>
      <c r="W26" s="62">
        <v>3.0</v>
      </c>
      <c r="X26" s="68">
        <f t="shared" si="5"/>
        <v>3</v>
      </c>
      <c r="Y26" s="63">
        <v>3.0</v>
      </c>
      <c r="Z26" s="62">
        <v>3.0</v>
      </c>
      <c r="AA26" s="63">
        <v>3.0</v>
      </c>
      <c r="AB26" s="212">
        <f t="shared" si="6"/>
        <v>3</v>
      </c>
      <c r="AC26" s="250">
        <v>4.0</v>
      </c>
      <c r="AD26" s="477">
        <v>4.0</v>
      </c>
      <c r="AE26" s="477">
        <v>4.0</v>
      </c>
      <c r="AF26" s="477">
        <v>4.0</v>
      </c>
      <c r="AG26" s="67">
        <f t="shared" si="7"/>
        <v>4</v>
      </c>
      <c r="AH26" s="250">
        <v>3.0</v>
      </c>
      <c r="AI26" s="250">
        <v>3.0</v>
      </c>
      <c r="AJ26" s="476">
        <v>3.0</v>
      </c>
      <c r="AK26" s="476">
        <v>3.0</v>
      </c>
      <c r="AL26" s="70">
        <f t="shared" si="8"/>
        <v>3</v>
      </c>
      <c r="AM26" s="371">
        <f t="shared" si="9"/>
        <v>3.1</v>
      </c>
      <c r="AN26" s="172"/>
      <c r="AO26" s="172"/>
      <c r="AP26" s="172"/>
      <c r="AQ26" s="172"/>
      <c r="AR26" s="172"/>
      <c r="AS26" s="172"/>
      <c r="AT26" s="172"/>
      <c r="AU26" s="172"/>
    </row>
    <row r="27" ht="15.75" customHeight="1">
      <c r="A27" s="74">
        <v>20.0</v>
      </c>
      <c r="B27" s="437" t="s">
        <v>635</v>
      </c>
      <c r="C27" s="62" t="s">
        <v>44</v>
      </c>
      <c r="D27" s="62">
        <v>3.0</v>
      </c>
      <c r="E27" s="62">
        <v>3.0</v>
      </c>
      <c r="F27" s="305">
        <f t="shared" si="1"/>
        <v>3</v>
      </c>
      <c r="G27" s="62">
        <v>3.0</v>
      </c>
      <c r="H27" s="62">
        <v>3.0</v>
      </c>
      <c r="I27" s="85">
        <f t="shared" si="2"/>
        <v>3</v>
      </c>
      <c r="J27" s="62">
        <v>3.0</v>
      </c>
      <c r="K27" s="476">
        <v>3.0</v>
      </c>
      <c r="L27" s="476">
        <v>3.0</v>
      </c>
      <c r="M27" s="476">
        <v>3.0</v>
      </c>
      <c r="N27" s="365">
        <f t="shared" si="3"/>
        <v>3</v>
      </c>
      <c r="O27" s="63">
        <v>3.0</v>
      </c>
      <c r="P27" s="62">
        <v>3.0</v>
      </c>
      <c r="Q27" s="62">
        <v>3.0</v>
      </c>
      <c r="R27" s="62">
        <v>3.0</v>
      </c>
      <c r="S27" s="62">
        <v>3.0</v>
      </c>
      <c r="T27" s="366">
        <f t="shared" si="4"/>
        <v>3</v>
      </c>
      <c r="U27" s="62">
        <v>3.0</v>
      </c>
      <c r="V27" s="62">
        <v>3.0</v>
      </c>
      <c r="W27" s="62">
        <v>3.0</v>
      </c>
      <c r="X27" s="68">
        <f t="shared" si="5"/>
        <v>3</v>
      </c>
      <c r="Y27" s="63">
        <v>3.0</v>
      </c>
      <c r="Z27" s="62">
        <v>3.0</v>
      </c>
      <c r="AA27" s="63">
        <v>3.0</v>
      </c>
      <c r="AB27" s="212">
        <f t="shared" si="6"/>
        <v>3</v>
      </c>
      <c r="AC27" s="250">
        <v>4.0</v>
      </c>
      <c r="AD27" s="477">
        <v>4.0</v>
      </c>
      <c r="AE27" s="477">
        <v>4.0</v>
      </c>
      <c r="AF27" s="477">
        <v>4.0</v>
      </c>
      <c r="AG27" s="67">
        <f t="shared" si="7"/>
        <v>4</v>
      </c>
      <c r="AH27" s="250">
        <v>3.0</v>
      </c>
      <c r="AI27" s="250">
        <v>3.0</v>
      </c>
      <c r="AJ27" s="476">
        <v>3.0</v>
      </c>
      <c r="AK27" s="476">
        <v>3.0</v>
      </c>
      <c r="AL27" s="70">
        <f t="shared" si="8"/>
        <v>3</v>
      </c>
      <c r="AM27" s="371">
        <f t="shared" si="9"/>
        <v>3.1</v>
      </c>
      <c r="AN27" s="172"/>
      <c r="AO27" s="172"/>
      <c r="AP27" s="172"/>
      <c r="AQ27" s="172"/>
      <c r="AR27" s="172"/>
      <c r="AS27" s="172"/>
      <c r="AT27" s="172"/>
      <c r="AU27" s="172"/>
    </row>
    <row r="28" ht="15.75" customHeight="1">
      <c r="A28" s="74">
        <v>21.0</v>
      </c>
      <c r="B28" s="480" t="s">
        <v>636</v>
      </c>
      <c r="C28" s="62" t="s">
        <v>45</v>
      </c>
      <c r="D28" s="65">
        <v>5.0</v>
      </c>
      <c r="E28" s="65">
        <v>5.0</v>
      </c>
      <c r="F28" s="305">
        <f t="shared" si="1"/>
        <v>5</v>
      </c>
      <c r="G28" s="65">
        <v>5.0</v>
      </c>
      <c r="H28" s="65">
        <v>5.0</v>
      </c>
      <c r="I28" s="85">
        <f t="shared" si="2"/>
        <v>5</v>
      </c>
      <c r="J28" s="65">
        <v>6.0</v>
      </c>
      <c r="K28" s="65">
        <v>5.0</v>
      </c>
      <c r="L28" s="65">
        <v>5.0</v>
      </c>
      <c r="M28" s="65">
        <v>5.0</v>
      </c>
      <c r="N28" s="365">
        <f t="shared" si="3"/>
        <v>5</v>
      </c>
      <c r="O28" s="63">
        <v>5.0</v>
      </c>
      <c r="P28" s="65">
        <v>5.0</v>
      </c>
      <c r="Q28" s="65">
        <v>5.0</v>
      </c>
      <c r="R28" s="65">
        <v>5.0</v>
      </c>
      <c r="S28" s="65">
        <v>5.0</v>
      </c>
      <c r="T28" s="366">
        <f t="shared" si="4"/>
        <v>5</v>
      </c>
      <c r="U28" s="65">
        <v>5.0</v>
      </c>
      <c r="V28" s="65">
        <v>5.0</v>
      </c>
      <c r="W28" s="65">
        <v>5.0</v>
      </c>
      <c r="X28" s="68">
        <f t="shared" si="5"/>
        <v>5</v>
      </c>
      <c r="Y28" s="65">
        <v>5.0</v>
      </c>
      <c r="Z28" s="65">
        <v>5.0</v>
      </c>
      <c r="AA28" s="65">
        <v>5.0</v>
      </c>
      <c r="AB28" s="212">
        <f t="shared" si="6"/>
        <v>5</v>
      </c>
      <c r="AC28" s="65">
        <v>5.0</v>
      </c>
      <c r="AD28" s="65">
        <v>5.0</v>
      </c>
      <c r="AE28" s="65">
        <v>5.0</v>
      </c>
      <c r="AF28" s="65">
        <v>5.0</v>
      </c>
      <c r="AG28" s="67">
        <f t="shared" si="7"/>
        <v>5</v>
      </c>
      <c r="AH28" s="65">
        <v>5.0</v>
      </c>
      <c r="AI28" s="65">
        <v>5.0</v>
      </c>
      <c r="AJ28" s="65">
        <v>5.0</v>
      </c>
      <c r="AK28" s="65">
        <v>4.0</v>
      </c>
      <c r="AL28" s="70">
        <f t="shared" si="8"/>
        <v>4.666666667</v>
      </c>
      <c r="AM28" s="371">
        <f t="shared" si="9"/>
        <v>4.966666667</v>
      </c>
      <c r="AN28" s="172"/>
      <c r="AO28" s="172"/>
      <c r="AP28" s="172"/>
      <c r="AQ28" s="172"/>
      <c r="AR28" s="172"/>
      <c r="AS28" s="172"/>
      <c r="AT28" s="172"/>
      <c r="AU28" s="172"/>
    </row>
    <row r="29" ht="18.75" customHeight="1">
      <c r="A29" s="74">
        <v>22.0</v>
      </c>
      <c r="B29" s="438" t="s">
        <v>637</v>
      </c>
      <c r="C29" s="62" t="s">
        <v>45</v>
      </c>
      <c r="D29" s="65">
        <v>5.0</v>
      </c>
      <c r="E29" s="65">
        <v>5.0</v>
      </c>
      <c r="F29" s="305">
        <f t="shared" si="1"/>
        <v>5</v>
      </c>
      <c r="G29" s="65">
        <v>5.0</v>
      </c>
      <c r="H29" s="65">
        <v>5.0</v>
      </c>
      <c r="I29" s="85">
        <f t="shared" si="2"/>
        <v>5</v>
      </c>
      <c r="J29" s="65">
        <v>6.0</v>
      </c>
      <c r="K29" s="65">
        <v>5.0</v>
      </c>
      <c r="L29" s="65">
        <v>5.0</v>
      </c>
      <c r="M29" s="65">
        <v>5.0</v>
      </c>
      <c r="N29" s="365">
        <f t="shared" si="3"/>
        <v>5</v>
      </c>
      <c r="O29" s="63">
        <v>5.0</v>
      </c>
      <c r="P29" s="65">
        <v>5.0</v>
      </c>
      <c r="Q29" s="65">
        <v>5.0</v>
      </c>
      <c r="R29" s="65">
        <v>5.0</v>
      </c>
      <c r="S29" s="65">
        <v>5.0</v>
      </c>
      <c r="T29" s="366">
        <f t="shared" si="4"/>
        <v>5</v>
      </c>
      <c r="U29" s="65">
        <v>5.0</v>
      </c>
      <c r="V29" s="65">
        <v>5.0</v>
      </c>
      <c r="W29" s="65">
        <v>5.0</v>
      </c>
      <c r="X29" s="68">
        <f t="shared" si="5"/>
        <v>5</v>
      </c>
      <c r="Y29" s="65">
        <v>5.0</v>
      </c>
      <c r="Z29" s="65">
        <v>5.0</v>
      </c>
      <c r="AA29" s="65">
        <v>5.0</v>
      </c>
      <c r="AB29" s="212">
        <f t="shared" si="6"/>
        <v>5</v>
      </c>
      <c r="AC29" s="65">
        <v>5.0</v>
      </c>
      <c r="AD29" s="65">
        <v>5.0</v>
      </c>
      <c r="AE29" s="65">
        <v>5.0</v>
      </c>
      <c r="AF29" s="65">
        <v>5.0</v>
      </c>
      <c r="AG29" s="67">
        <f t="shared" si="7"/>
        <v>5</v>
      </c>
      <c r="AH29" s="65">
        <v>3.0</v>
      </c>
      <c r="AI29" s="65">
        <v>3.0</v>
      </c>
      <c r="AJ29" s="65">
        <v>3.0</v>
      </c>
      <c r="AK29" s="65">
        <v>3.0</v>
      </c>
      <c r="AL29" s="70">
        <f t="shared" si="8"/>
        <v>3</v>
      </c>
      <c r="AM29" s="371">
        <f t="shared" si="9"/>
        <v>4.6</v>
      </c>
      <c r="AN29" s="172"/>
      <c r="AO29" s="172"/>
      <c r="AP29" s="172"/>
      <c r="AQ29" s="172"/>
      <c r="AR29" s="172"/>
      <c r="AS29" s="172"/>
      <c r="AT29" s="172"/>
      <c r="AU29" s="172"/>
    </row>
    <row r="30" ht="15.75" customHeight="1">
      <c r="A30" s="74">
        <v>23.0</v>
      </c>
      <c r="B30" s="475" t="s">
        <v>638</v>
      </c>
      <c r="C30" s="62" t="s">
        <v>45</v>
      </c>
      <c r="D30" s="62">
        <v>5.0</v>
      </c>
      <c r="E30" s="62">
        <v>6.0</v>
      </c>
      <c r="F30" s="305">
        <f t="shared" si="1"/>
        <v>5.5</v>
      </c>
      <c r="G30" s="62">
        <v>6.0</v>
      </c>
      <c r="H30" s="62">
        <v>6.0</v>
      </c>
      <c r="I30" s="85">
        <f t="shared" si="2"/>
        <v>6</v>
      </c>
      <c r="J30" s="62">
        <v>6.0</v>
      </c>
      <c r="K30" s="476">
        <v>6.0</v>
      </c>
      <c r="L30" s="476">
        <v>5.0</v>
      </c>
      <c r="M30" s="476">
        <v>6.0</v>
      </c>
      <c r="N30" s="365">
        <f t="shared" si="3"/>
        <v>5.5</v>
      </c>
      <c r="O30" s="63">
        <v>6.0</v>
      </c>
      <c r="P30" s="62">
        <v>6.0</v>
      </c>
      <c r="Q30" s="62">
        <v>6.0</v>
      </c>
      <c r="R30" s="62">
        <v>5.0</v>
      </c>
      <c r="S30" s="62">
        <v>6.0</v>
      </c>
      <c r="T30" s="366">
        <f t="shared" si="4"/>
        <v>5.5</v>
      </c>
      <c r="U30" s="62">
        <v>5.0</v>
      </c>
      <c r="V30" s="62">
        <v>6.0</v>
      </c>
      <c r="W30" s="62">
        <v>6.0</v>
      </c>
      <c r="X30" s="68">
        <f t="shared" si="5"/>
        <v>5.666666667</v>
      </c>
      <c r="Y30" s="63">
        <v>5.0</v>
      </c>
      <c r="Z30" s="62">
        <v>5.0</v>
      </c>
      <c r="AA30" s="63">
        <v>5.0</v>
      </c>
      <c r="AB30" s="212">
        <f t="shared" si="6"/>
        <v>5.166666667</v>
      </c>
      <c r="AC30" s="250">
        <v>6.0</v>
      </c>
      <c r="AD30" s="477">
        <v>6.0</v>
      </c>
      <c r="AE30" s="477">
        <v>6.0</v>
      </c>
      <c r="AF30" s="477">
        <v>6.0</v>
      </c>
      <c r="AG30" s="67">
        <f t="shared" si="7"/>
        <v>6</v>
      </c>
      <c r="AH30" s="250">
        <v>6.0</v>
      </c>
      <c r="AI30" s="250">
        <v>6.0</v>
      </c>
      <c r="AJ30" s="476">
        <v>6.0</v>
      </c>
      <c r="AK30" s="476">
        <v>5.0</v>
      </c>
      <c r="AL30" s="70">
        <f t="shared" si="8"/>
        <v>5.666666667</v>
      </c>
      <c r="AM30" s="371">
        <f t="shared" si="9"/>
        <v>5.566666667</v>
      </c>
      <c r="AN30" s="172"/>
      <c r="AO30" s="172"/>
      <c r="AP30" s="172"/>
      <c r="AQ30" s="172"/>
      <c r="AR30" s="172"/>
      <c r="AS30" s="172"/>
      <c r="AT30" s="172"/>
      <c r="AU30" s="172"/>
    </row>
    <row r="31" ht="15.75" customHeight="1">
      <c r="A31" s="74">
        <v>24.0</v>
      </c>
      <c r="B31" s="438" t="s">
        <v>639</v>
      </c>
      <c r="C31" s="62" t="s">
        <v>45</v>
      </c>
      <c r="D31" s="62">
        <v>5.0</v>
      </c>
      <c r="E31" s="62">
        <v>6.0</v>
      </c>
      <c r="F31" s="305">
        <f t="shared" si="1"/>
        <v>5.5</v>
      </c>
      <c r="G31" s="62">
        <v>6.0</v>
      </c>
      <c r="H31" s="62">
        <v>6.0</v>
      </c>
      <c r="I31" s="85">
        <f t="shared" si="2"/>
        <v>6</v>
      </c>
      <c r="J31" s="62">
        <v>6.0</v>
      </c>
      <c r="K31" s="476">
        <v>6.0</v>
      </c>
      <c r="L31" s="476">
        <v>5.0</v>
      </c>
      <c r="M31" s="476">
        <v>6.0</v>
      </c>
      <c r="N31" s="365">
        <f t="shared" si="3"/>
        <v>5.5</v>
      </c>
      <c r="O31" s="63">
        <v>6.0</v>
      </c>
      <c r="P31" s="62">
        <v>6.0</v>
      </c>
      <c r="Q31" s="62">
        <v>6.0</v>
      </c>
      <c r="R31" s="62">
        <v>5.0</v>
      </c>
      <c r="S31" s="62">
        <v>6.0</v>
      </c>
      <c r="T31" s="366">
        <f t="shared" si="4"/>
        <v>5.5</v>
      </c>
      <c r="U31" s="62">
        <v>5.0</v>
      </c>
      <c r="V31" s="62">
        <v>6.0</v>
      </c>
      <c r="W31" s="62">
        <v>6.0</v>
      </c>
      <c r="X31" s="68">
        <f t="shared" si="5"/>
        <v>5.666666667</v>
      </c>
      <c r="Y31" s="63">
        <v>5.0</v>
      </c>
      <c r="Z31" s="62">
        <v>5.0</v>
      </c>
      <c r="AA31" s="63">
        <v>5.0</v>
      </c>
      <c r="AB31" s="212">
        <f t="shared" si="6"/>
        <v>5.166666667</v>
      </c>
      <c r="AC31" s="250">
        <v>6.0</v>
      </c>
      <c r="AD31" s="477">
        <v>6.0</v>
      </c>
      <c r="AE31" s="477">
        <v>6.0</v>
      </c>
      <c r="AF31" s="477">
        <v>6.0</v>
      </c>
      <c r="AG31" s="67">
        <f t="shared" si="7"/>
        <v>6</v>
      </c>
      <c r="AH31" s="250">
        <v>6.0</v>
      </c>
      <c r="AI31" s="250">
        <v>6.0</v>
      </c>
      <c r="AJ31" s="476">
        <v>6.0</v>
      </c>
      <c r="AK31" s="476">
        <v>5.0</v>
      </c>
      <c r="AL31" s="70">
        <f t="shared" si="8"/>
        <v>5.666666667</v>
      </c>
      <c r="AM31" s="371">
        <f t="shared" si="9"/>
        <v>5.566666667</v>
      </c>
      <c r="AN31" s="172"/>
      <c r="AO31" s="172"/>
      <c r="AP31" s="172"/>
      <c r="AQ31" s="172"/>
      <c r="AR31" s="172"/>
      <c r="AS31" s="172"/>
      <c r="AT31" s="172"/>
      <c r="AU31" s="172"/>
    </row>
    <row r="32" ht="19.5" customHeight="1">
      <c r="A32" s="74">
        <v>25.0</v>
      </c>
      <c r="B32" s="438" t="s">
        <v>640</v>
      </c>
      <c r="C32" s="62" t="s">
        <v>45</v>
      </c>
      <c r="D32" s="62">
        <v>5.0</v>
      </c>
      <c r="E32" s="62">
        <v>6.0</v>
      </c>
      <c r="F32" s="305">
        <f t="shared" si="1"/>
        <v>5.5</v>
      </c>
      <c r="G32" s="62">
        <v>6.0</v>
      </c>
      <c r="H32" s="62">
        <v>6.0</v>
      </c>
      <c r="I32" s="85">
        <f t="shared" si="2"/>
        <v>6</v>
      </c>
      <c r="J32" s="62">
        <v>6.0</v>
      </c>
      <c r="K32" s="476">
        <v>6.0</v>
      </c>
      <c r="L32" s="476">
        <v>5.0</v>
      </c>
      <c r="M32" s="476">
        <v>6.0</v>
      </c>
      <c r="N32" s="365">
        <f t="shared" si="3"/>
        <v>5.5</v>
      </c>
      <c r="O32" s="63">
        <v>6.0</v>
      </c>
      <c r="P32" s="62">
        <v>6.0</v>
      </c>
      <c r="Q32" s="62">
        <v>6.0</v>
      </c>
      <c r="R32" s="62">
        <v>5.0</v>
      </c>
      <c r="S32" s="62">
        <v>6.0</v>
      </c>
      <c r="T32" s="366">
        <f t="shared" si="4"/>
        <v>5.5</v>
      </c>
      <c r="U32" s="62">
        <v>5.0</v>
      </c>
      <c r="V32" s="62">
        <v>6.0</v>
      </c>
      <c r="W32" s="62">
        <v>6.0</v>
      </c>
      <c r="X32" s="68">
        <f t="shared" si="5"/>
        <v>5.666666667</v>
      </c>
      <c r="Y32" s="63">
        <v>5.0</v>
      </c>
      <c r="Z32" s="62">
        <v>5.0</v>
      </c>
      <c r="AA32" s="63">
        <v>5.0</v>
      </c>
      <c r="AB32" s="212">
        <f t="shared" si="6"/>
        <v>5.166666667</v>
      </c>
      <c r="AC32" s="250">
        <v>6.0</v>
      </c>
      <c r="AD32" s="477">
        <v>6.0</v>
      </c>
      <c r="AE32" s="477">
        <v>6.0</v>
      </c>
      <c r="AF32" s="477">
        <v>6.0</v>
      </c>
      <c r="AG32" s="67">
        <f t="shared" si="7"/>
        <v>6</v>
      </c>
      <c r="AH32" s="250">
        <v>6.0</v>
      </c>
      <c r="AI32" s="250">
        <v>6.0</v>
      </c>
      <c r="AJ32" s="476">
        <v>6.0</v>
      </c>
      <c r="AK32" s="476">
        <v>5.0</v>
      </c>
      <c r="AL32" s="70">
        <f t="shared" si="8"/>
        <v>5.666666667</v>
      </c>
      <c r="AM32" s="371">
        <f t="shared" si="9"/>
        <v>5.566666667</v>
      </c>
      <c r="AN32" s="172"/>
      <c r="AO32" s="172"/>
      <c r="AP32" s="172"/>
      <c r="AQ32" s="172"/>
      <c r="AR32" s="172"/>
      <c r="AS32" s="172"/>
      <c r="AT32" s="172"/>
      <c r="AU32" s="172"/>
    </row>
    <row r="33" ht="15.75" customHeight="1">
      <c r="A33" s="74">
        <v>26.0</v>
      </c>
      <c r="B33" s="438" t="s">
        <v>641</v>
      </c>
      <c r="C33" s="62" t="s">
        <v>45</v>
      </c>
      <c r="D33" s="65">
        <v>5.0</v>
      </c>
      <c r="E33" s="65">
        <v>5.0</v>
      </c>
      <c r="F33" s="305">
        <f t="shared" si="1"/>
        <v>5</v>
      </c>
      <c r="G33" s="65">
        <v>5.0</v>
      </c>
      <c r="H33" s="65">
        <v>5.0</v>
      </c>
      <c r="I33" s="85">
        <f t="shared" si="2"/>
        <v>5</v>
      </c>
      <c r="J33" s="65">
        <v>6.0</v>
      </c>
      <c r="K33" s="65">
        <v>5.0</v>
      </c>
      <c r="L33" s="65">
        <v>5.0</v>
      </c>
      <c r="M33" s="65">
        <v>5.0</v>
      </c>
      <c r="N33" s="365">
        <f t="shared" si="3"/>
        <v>5</v>
      </c>
      <c r="O33" s="63">
        <v>5.0</v>
      </c>
      <c r="P33" s="65">
        <v>5.0</v>
      </c>
      <c r="Q33" s="65">
        <v>5.0</v>
      </c>
      <c r="R33" s="65">
        <v>5.0</v>
      </c>
      <c r="S33" s="65">
        <v>5.0</v>
      </c>
      <c r="T33" s="366">
        <f t="shared" si="4"/>
        <v>5</v>
      </c>
      <c r="U33" s="65">
        <v>5.0</v>
      </c>
      <c r="V33" s="65">
        <v>5.0</v>
      </c>
      <c r="W33" s="65">
        <v>5.0</v>
      </c>
      <c r="X33" s="68">
        <f t="shared" si="5"/>
        <v>5</v>
      </c>
      <c r="Y33" s="65">
        <v>5.0</v>
      </c>
      <c r="Z33" s="65">
        <v>5.0</v>
      </c>
      <c r="AA33" s="65">
        <v>5.0</v>
      </c>
      <c r="AB33" s="212">
        <f t="shared" si="6"/>
        <v>5</v>
      </c>
      <c r="AC33" s="65">
        <v>5.0</v>
      </c>
      <c r="AD33" s="65">
        <v>5.0</v>
      </c>
      <c r="AE33" s="65">
        <v>5.0</v>
      </c>
      <c r="AF33" s="65">
        <v>5.0</v>
      </c>
      <c r="AG33" s="67">
        <f t="shared" si="7"/>
        <v>5</v>
      </c>
      <c r="AH33" s="65">
        <v>3.0</v>
      </c>
      <c r="AI33" s="65">
        <v>3.0</v>
      </c>
      <c r="AJ33" s="65">
        <v>3.0</v>
      </c>
      <c r="AK33" s="65">
        <v>3.0</v>
      </c>
      <c r="AL33" s="70">
        <f t="shared" si="8"/>
        <v>3</v>
      </c>
      <c r="AM33" s="371">
        <f t="shared" si="9"/>
        <v>4.6</v>
      </c>
      <c r="AN33" s="172"/>
      <c r="AO33" s="172"/>
      <c r="AP33" s="172"/>
      <c r="AQ33" s="172"/>
      <c r="AR33" s="172"/>
      <c r="AS33" s="172"/>
      <c r="AT33" s="172"/>
      <c r="AU33" s="172"/>
    </row>
    <row r="34" ht="15.75" customHeight="1">
      <c r="A34" s="74">
        <v>27.0</v>
      </c>
      <c r="B34" s="475" t="s">
        <v>642</v>
      </c>
      <c r="C34" s="62" t="s">
        <v>45</v>
      </c>
      <c r="D34" s="62">
        <v>5.0</v>
      </c>
      <c r="E34" s="62">
        <v>6.0</v>
      </c>
      <c r="F34" s="305">
        <f t="shared" si="1"/>
        <v>5.5</v>
      </c>
      <c r="G34" s="62">
        <v>6.0</v>
      </c>
      <c r="H34" s="62">
        <v>6.0</v>
      </c>
      <c r="I34" s="85">
        <f t="shared" si="2"/>
        <v>6</v>
      </c>
      <c r="J34" s="62">
        <v>6.0</v>
      </c>
      <c r="K34" s="476">
        <v>6.0</v>
      </c>
      <c r="L34" s="476">
        <v>5.0</v>
      </c>
      <c r="M34" s="476">
        <v>6.0</v>
      </c>
      <c r="N34" s="365">
        <f t="shared" si="3"/>
        <v>5.5</v>
      </c>
      <c r="O34" s="63">
        <v>6.0</v>
      </c>
      <c r="P34" s="62">
        <v>6.0</v>
      </c>
      <c r="Q34" s="62">
        <v>6.0</v>
      </c>
      <c r="R34" s="62">
        <v>5.0</v>
      </c>
      <c r="S34" s="62">
        <v>6.0</v>
      </c>
      <c r="T34" s="366">
        <f t="shared" si="4"/>
        <v>5.5</v>
      </c>
      <c r="U34" s="62">
        <v>5.0</v>
      </c>
      <c r="V34" s="62">
        <v>6.0</v>
      </c>
      <c r="W34" s="62">
        <v>6.0</v>
      </c>
      <c r="X34" s="68">
        <f t="shared" si="5"/>
        <v>5.666666667</v>
      </c>
      <c r="Y34" s="63">
        <v>5.0</v>
      </c>
      <c r="Z34" s="62">
        <v>5.0</v>
      </c>
      <c r="AA34" s="63">
        <v>5.0</v>
      </c>
      <c r="AB34" s="212">
        <f t="shared" si="6"/>
        <v>5.166666667</v>
      </c>
      <c r="AC34" s="250">
        <v>6.0</v>
      </c>
      <c r="AD34" s="477">
        <v>6.0</v>
      </c>
      <c r="AE34" s="477">
        <v>6.0</v>
      </c>
      <c r="AF34" s="477">
        <v>6.0</v>
      </c>
      <c r="AG34" s="67">
        <f t="shared" si="7"/>
        <v>6</v>
      </c>
      <c r="AH34" s="250">
        <v>6.0</v>
      </c>
      <c r="AI34" s="250">
        <v>6.0</v>
      </c>
      <c r="AJ34" s="476">
        <v>6.0</v>
      </c>
      <c r="AK34" s="476">
        <v>5.0</v>
      </c>
      <c r="AL34" s="70">
        <f t="shared" si="8"/>
        <v>5.666666667</v>
      </c>
      <c r="AM34" s="371">
        <v>6.0</v>
      </c>
      <c r="AN34" s="172"/>
      <c r="AO34" s="172"/>
      <c r="AP34" s="172"/>
      <c r="AQ34" s="172"/>
      <c r="AR34" s="172"/>
      <c r="AS34" s="172"/>
      <c r="AT34" s="172"/>
      <c r="AU34" s="172"/>
    </row>
    <row r="35" ht="15.75" customHeight="1">
      <c r="A35" s="74">
        <v>28.0</v>
      </c>
      <c r="B35" s="438" t="s">
        <v>643</v>
      </c>
      <c r="C35" s="62" t="s">
        <v>44</v>
      </c>
      <c r="D35" s="62">
        <v>5.0</v>
      </c>
      <c r="E35" s="62">
        <v>6.0</v>
      </c>
      <c r="F35" s="305">
        <f t="shared" si="1"/>
        <v>5.5</v>
      </c>
      <c r="G35" s="62">
        <v>6.0</v>
      </c>
      <c r="H35" s="62">
        <v>6.0</v>
      </c>
      <c r="I35" s="85">
        <f t="shared" si="2"/>
        <v>6</v>
      </c>
      <c r="J35" s="62">
        <v>6.0</v>
      </c>
      <c r="K35" s="476">
        <v>6.0</v>
      </c>
      <c r="L35" s="476">
        <v>5.0</v>
      </c>
      <c r="M35" s="476">
        <v>6.0</v>
      </c>
      <c r="N35" s="365">
        <f t="shared" si="3"/>
        <v>5.5</v>
      </c>
      <c r="O35" s="63">
        <v>6.0</v>
      </c>
      <c r="P35" s="62">
        <v>6.0</v>
      </c>
      <c r="Q35" s="62">
        <v>6.0</v>
      </c>
      <c r="R35" s="62">
        <v>5.0</v>
      </c>
      <c r="S35" s="62">
        <v>6.0</v>
      </c>
      <c r="T35" s="366">
        <f t="shared" si="4"/>
        <v>5.5</v>
      </c>
      <c r="U35" s="62">
        <v>5.0</v>
      </c>
      <c r="V35" s="62">
        <v>6.0</v>
      </c>
      <c r="W35" s="62">
        <v>6.0</v>
      </c>
      <c r="X35" s="68">
        <f t="shared" si="5"/>
        <v>5.666666667</v>
      </c>
      <c r="Y35" s="63">
        <v>5.0</v>
      </c>
      <c r="Z35" s="62">
        <v>5.0</v>
      </c>
      <c r="AA35" s="63">
        <v>5.0</v>
      </c>
      <c r="AB35" s="212">
        <f t="shared" si="6"/>
        <v>5.166666667</v>
      </c>
      <c r="AC35" s="250">
        <v>6.0</v>
      </c>
      <c r="AD35" s="477">
        <v>6.0</v>
      </c>
      <c r="AE35" s="477">
        <v>6.0</v>
      </c>
      <c r="AF35" s="477">
        <v>6.0</v>
      </c>
      <c r="AG35" s="67">
        <f t="shared" si="7"/>
        <v>6</v>
      </c>
      <c r="AH35" s="250">
        <v>6.0</v>
      </c>
      <c r="AI35" s="250">
        <v>6.0</v>
      </c>
      <c r="AJ35" s="476">
        <v>6.0</v>
      </c>
      <c r="AK35" s="476">
        <v>5.0</v>
      </c>
      <c r="AL35" s="70">
        <f t="shared" si="8"/>
        <v>5.666666667</v>
      </c>
      <c r="AM35" s="371">
        <v>6.0</v>
      </c>
      <c r="AN35" s="172"/>
      <c r="AO35" s="172"/>
      <c r="AP35" s="172"/>
      <c r="AQ35" s="172"/>
      <c r="AR35" s="172"/>
      <c r="AS35" s="172"/>
      <c r="AT35" s="172"/>
      <c r="AU35" s="172"/>
    </row>
    <row r="36" ht="15.75" customHeight="1">
      <c r="A36" s="74">
        <v>29.0</v>
      </c>
      <c r="B36" s="475" t="s">
        <v>644</v>
      </c>
      <c r="C36" s="62" t="s">
        <v>44</v>
      </c>
      <c r="D36" s="62">
        <v>3.0</v>
      </c>
      <c r="E36" s="62">
        <v>3.0</v>
      </c>
      <c r="F36" s="305">
        <f t="shared" si="1"/>
        <v>3</v>
      </c>
      <c r="G36" s="62">
        <v>3.0</v>
      </c>
      <c r="H36" s="62">
        <v>3.0</v>
      </c>
      <c r="I36" s="85">
        <f t="shared" si="2"/>
        <v>3</v>
      </c>
      <c r="J36" s="62">
        <v>3.0</v>
      </c>
      <c r="K36" s="476">
        <v>3.0</v>
      </c>
      <c r="L36" s="476">
        <v>3.0</v>
      </c>
      <c r="M36" s="476">
        <v>3.0</v>
      </c>
      <c r="N36" s="365">
        <f t="shared" si="3"/>
        <v>3</v>
      </c>
      <c r="O36" s="63">
        <v>3.0</v>
      </c>
      <c r="P36" s="62">
        <v>3.0</v>
      </c>
      <c r="Q36" s="62">
        <v>3.0</v>
      </c>
      <c r="R36" s="62">
        <v>3.0</v>
      </c>
      <c r="S36" s="62">
        <v>3.0</v>
      </c>
      <c r="T36" s="366">
        <f t="shared" si="4"/>
        <v>3</v>
      </c>
      <c r="U36" s="62">
        <v>3.0</v>
      </c>
      <c r="V36" s="62">
        <v>3.0</v>
      </c>
      <c r="W36" s="62">
        <v>3.0</v>
      </c>
      <c r="X36" s="68">
        <f t="shared" si="5"/>
        <v>3</v>
      </c>
      <c r="Y36" s="63">
        <v>3.0</v>
      </c>
      <c r="Z36" s="62">
        <v>3.0</v>
      </c>
      <c r="AA36" s="63">
        <v>3.0</v>
      </c>
      <c r="AB36" s="212">
        <f t="shared" si="6"/>
        <v>3</v>
      </c>
      <c r="AC36" s="250">
        <v>4.0</v>
      </c>
      <c r="AD36" s="477">
        <v>4.0</v>
      </c>
      <c r="AE36" s="477">
        <v>4.0</v>
      </c>
      <c r="AF36" s="477">
        <v>4.0</v>
      </c>
      <c r="AG36" s="67">
        <f t="shared" si="7"/>
        <v>4</v>
      </c>
      <c r="AH36" s="250">
        <v>3.0</v>
      </c>
      <c r="AI36" s="250">
        <v>3.0</v>
      </c>
      <c r="AJ36" s="476">
        <v>3.0</v>
      </c>
      <c r="AK36" s="476">
        <v>3.0</v>
      </c>
      <c r="AL36" s="70">
        <f t="shared" si="8"/>
        <v>3</v>
      </c>
      <c r="AM36" s="371">
        <f t="shared" ref="AM36:AM39" si="10">SUM(AL36,AH36,AC36,Y36,U36,R36,Q36,P36,O36,L36)/10</f>
        <v>3.1</v>
      </c>
      <c r="AN36" s="172"/>
      <c r="AO36" s="172"/>
      <c r="AP36" s="172"/>
      <c r="AQ36" s="172"/>
      <c r="AR36" s="172"/>
      <c r="AS36" s="172"/>
      <c r="AT36" s="172"/>
      <c r="AU36" s="172"/>
    </row>
    <row r="37" ht="15.75" customHeight="1">
      <c r="A37" s="74">
        <v>30.0</v>
      </c>
      <c r="B37" s="475" t="s">
        <v>645</v>
      </c>
      <c r="C37" s="62" t="s">
        <v>45</v>
      </c>
      <c r="D37" s="65">
        <v>5.0</v>
      </c>
      <c r="E37" s="65">
        <v>5.0</v>
      </c>
      <c r="F37" s="305">
        <f t="shared" si="1"/>
        <v>5</v>
      </c>
      <c r="G37" s="65">
        <v>5.0</v>
      </c>
      <c r="H37" s="65">
        <v>5.0</v>
      </c>
      <c r="I37" s="85">
        <f t="shared" si="2"/>
        <v>5</v>
      </c>
      <c r="J37" s="65">
        <v>6.0</v>
      </c>
      <c r="K37" s="65">
        <v>5.0</v>
      </c>
      <c r="L37" s="65">
        <v>5.0</v>
      </c>
      <c r="M37" s="65">
        <v>5.0</v>
      </c>
      <c r="N37" s="365">
        <f t="shared" si="3"/>
        <v>5</v>
      </c>
      <c r="O37" s="63">
        <v>5.0</v>
      </c>
      <c r="P37" s="65">
        <v>5.0</v>
      </c>
      <c r="Q37" s="65">
        <v>5.0</v>
      </c>
      <c r="R37" s="65">
        <v>5.0</v>
      </c>
      <c r="S37" s="65">
        <v>5.0</v>
      </c>
      <c r="T37" s="366">
        <f t="shared" si="4"/>
        <v>5</v>
      </c>
      <c r="U37" s="65">
        <v>5.0</v>
      </c>
      <c r="V37" s="65">
        <v>5.0</v>
      </c>
      <c r="W37" s="65">
        <v>5.0</v>
      </c>
      <c r="X37" s="68">
        <f t="shared" si="5"/>
        <v>5</v>
      </c>
      <c r="Y37" s="65">
        <v>5.0</v>
      </c>
      <c r="Z37" s="65">
        <v>5.0</v>
      </c>
      <c r="AA37" s="65">
        <v>5.0</v>
      </c>
      <c r="AB37" s="212">
        <f t="shared" si="6"/>
        <v>5</v>
      </c>
      <c r="AC37" s="65">
        <v>5.0</v>
      </c>
      <c r="AD37" s="65">
        <v>5.0</v>
      </c>
      <c r="AE37" s="65">
        <v>5.0</v>
      </c>
      <c r="AF37" s="65">
        <v>5.0</v>
      </c>
      <c r="AG37" s="67">
        <f t="shared" si="7"/>
        <v>5</v>
      </c>
      <c r="AH37" s="65">
        <v>6.0</v>
      </c>
      <c r="AI37" s="65">
        <v>6.0</v>
      </c>
      <c r="AJ37" s="65">
        <v>6.0</v>
      </c>
      <c r="AK37" s="65">
        <v>4.0</v>
      </c>
      <c r="AL37" s="70">
        <f t="shared" si="8"/>
        <v>5.333333333</v>
      </c>
      <c r="AM37" s="371">
        <f t="shared" si="10"/>
        <v>5.133333333</v>
      </c>
      <c r="AN37" s="172"/>
      <c r="AO37" s="172"/>
      <c r="AP37" s="172"/>
      <c r="AQ37" s="172"/>
      <c r="AR37" s="172"/>
      <c r="AS37" s="172"/>
      <c r="AT37" s="172"/>
      <c r="AU37" s="172"/>
    </row>
    <row r="38" ht="15.75" customHeight="1">
      <c r="A38" s="74">
        <v>31.0</v>
      </c>
      <c r="B38" s="481" t="s">
        <v>646</v>
      </c>
      <c r="C38" s="62" t="s">
        <v>44</v>
      </c>
      <c r="D38" s="65">
        <v>5.0</v>
      </c>
      <c r="E38" s="65">
        <v>5.0</v>
      </c>
      <c r="F38" s="305">
        <f t="shared" si="1"/>
        <v>5</v>
      </c>
      <c r="G38" s="65">
        <v>5.0</v>
      </c>
      <c r="H38" s="65">
        <v>5.0</v>
      </c>
      <c r="I38" s="85">
        <f t="shared" si="2"/>
        <v>5</v>
      </c>
      <c r="J38" s="65">
        <v>6.0</v>
      </c>
      <c r="K38" s="65">
        <v>5.0</v>
      </c>
      <c r="L38" s="65">
        <v>5.0</v>
      </c>
      <c r="M38" s="65">
        <v>5.0</v>
      </c>
      <c r="N38" s="365">
        <f t="shared" si="3"/>
        <v>5</v>
      </c>
      <c r="O38" s="63">
        <v>5.0</v>
      </c>
      <c r="P38" s="65">
        <v>5.0</v>
      </c>
      <c r="Q38" s="65">
        <v>5.0</v>
      </c>
      <c r="R38" s="65">
        <v>5.0</v>
      </c>
      <c r="S38" s="65">
        <v>5.0</v>
      </c>
      <c r="T38" s="366">
        <f t="shared" si="4"/>
        <v>5</v>
      </c>
      <c r="U38" s="65">
        <v>5.0</v>
      </c>
      <c r="V38" s="65">
        <v>5.0</v>
      </c>
      <c r="W38" s="65">
        <v>5.0</v>
      </c>
      <c r="X38" s="68">
        <f t="shared" si="5"/>
        <v>5</v>
      </c>
      <c r="Y38" s="65">
        <v>5.0</v>
      </c>
      <c r="Z38" s="65">
        <v>5.0</v>
      </c>
      <c r="AA38" s="65">
        <v>5.0</v>
      </c>
      <c r="AB38" s="212">
        <f t="shared" si="6"/>
        <v>5</v>
      </c>
      <c r="AC38" s="65">
        <v>5.0</v>
      </c>
      <c r="AD38" s="65">
        <v>5.0</v>
      </c>
      <c r="AE38" s="65">
        <v>5.0</v>
      </c>
      <c r="AF38" s="65">
        <v>5.0</v>
      </c>
      <c r="AG38" s="67">
        <f t="shared" si="7"/>
        <v>5</v>
      </c>
      <c r="AH38" s="65">
        <v>6.0</v>
      </c>
      <c r="AI38" s="65">
        <v>6.0</v>
      </c>
      <c r="AJ38" s="65">
        <v>6.0</v>
      </c>
      <c r="AK38" s="65">
        <v>4.0</v>
      </c>
      <c r="AL38" s="70">
        <f t="shared" si="8"/>
        <v>5.333333333</v>
      </c>
      <c r="AM38" s="371">
        <f t="shared" si="10"/>
        <v>5.133333333</v>
      </c>
      <c r="AN38" s="172"/>
      <c r="AO38" s="172"/>
      <c r="AP38" s="172"/>
      <c r="AQ38" s="172"/>
      <c r="AR38" s="172"/>
      <c r="AS38" s="172"/>
      <c r="AT38" s="172"/>
      <c r="AU38" s="172"/>
    </row>
    <row r="39" ht="15.75" customHeight="1">
      <c r="A39" s="74">
        <v>32.0</v>
      </c>
      <c r="B39" s="75" t="s">
        <v>647</v>
      </c>
      <c r="C39" s="62" t="s">
        <v>45</v>
      </c>
      <c r="D39" s="65">
        <v>5.0</v>
      </c>
      <c r="E39" s="65">
        <v>5.0</v>
      </c>
      <c r="F39" s="305">
        <f t="shared" si="1"/>
        <v>5</v>
      </c>
      <c r="G39" s="65">
        <v>5.0</v>
      </c>
      <c r="H39" s="65">
        <v>5.0</v>
      </c>
      <c r="I39" s="85">
        <f t="shared" si="2"/>
        <v>5</v>
      </c>
      <c r="J39" s="65">
        <v>6.0</v>
      </c>
      <c r="K39" s="65">
        <v>5.0</v>
      </c>
      <c r="L39" s="65">
        <v>5.0</v>
      </c>
      <c r="M39" s="65">
        <v>5.0</v>
      </c>
      <c r="N39" s="365">
        <f t="shared" si="3"/>
        <v>5</v>
      </c>
      <c r="O39" s="63">
        <v>5.0</v>
      </c>
      <c r="P39" s="65">
        <v>5.0</v>
      </c>
      <c r="Q39" s="65">
        <v>5.0</v>
      </c>
      <c r="R39" s="65">
        <v>5.0</v>
      </c>
      <c r="S39" s="65">
        <v>5.0</v>
      </c>
      <c r="T39" s="366">
        <f t="shared" si="4"/>
        <v>5</v>
      </c>
      <c r="U39" s="65">
        <v>5.0</v>
      </c>
      <c r="V39" s="65">
        <v>5.0</v>
      </c>
      <c r="W39" s="65">
        <v>5.0</v>
      </c>
      <c r="X39" s="68">
        <f t="shared" si="5"/>
        <v>5</v>
      </c>
      <c r="Y39" s="65">
        <v>5.0</v>
      </c>
      <c r="Z39" s="65">
        <v>5.0</v>
      </c>
      <c r="AA39" s="65">
        <v>5.0</v>
      </c>
      <c r="AB39" s="212">
        <f t="shared" si="6"/>
        <v>5</v>
      </c>
      <c r="AC39" s="65">
        <v>5.0</v>
      </c>
      <c r="AD39" s="65">
        <v>5.0</v>
      </c>
      <c r="AE39" s="65">
        <v>5.0</v>
      </c>
      <c r="AF39" s="65">
        <v>5.0</v>
      </c>
      <c r="AG39" s="67">
        <f t="shared" si="7"/>
        <v>5</v>
      </c>
      <c r="AH39" s="65">
        <v>6.0</v>
      </c>
      <c r="AI39" s="65">
        <v>6.0</v>
      </c>
      <c r="AJ39" s="65">
        <v>6.0</v>
      </c>
      <c r="AK39" s="65">
        <v>4.0</v>
      </c>
      <c r="AL39" s="70">
        <f t="shared" si="8"/>
        <v>5.333333333</v>
      </c>
      <c r="AM39" s="371">
        <f t="shared" si="10"/>
        <v>5.133333333</v>
      </c>
      <c r="AN39" s="172"/>
      <c r="AO39" s="172"/>
      <c r="AP39" s="172"/>
      <c r="AQ39" s="172"/>
      <c r="AR39" s="172"/>
      <c r="AS39" s="172"/>
      <c r="AT39" s="172"/>
      <c r="AU39" s="172"/>
    </row>
    <row r="40" ht="15.75" customHeight="1">
      <c r="A40" s="74">
        <v>33.0</v>
      </c>
      <c r="B40" s="75" t="s">
        <v>648</v>
      </c>
      <c r="C40" s="62" t="s">
        <v>44</v>
      </c>
      <c r="D40" s="62">
        <v>5.0</v>
      </c>
      <c r="E40" s="62">
        <v>6.0</v>
      </c>
      <c r="F40" s="305">
        <f t="shared" si="1"/>
        <v>5.5</v>
      </c>
      <c r="G40" s="62">
        <v>6.0</v>
      </c>
      <c r="H40" s="62">
        <v>6.0</v>
      </c>
      <c r="I40" s="85">
        <f t="shared" si="2"/>
        <v>6</v>
      </c>
      <c r="J40" s="62">
        <v>6.0</v>
      </c>
      <c r="K40" s="476">
        <v>6.0</v>
      </c>
      <c r="L40" s="476">
        <v>5.0</v>
      </c>
      <c r="M40" s="476">
        <v>6.0</v>
      </c>
      <c r="N40" s="365">
        <f t="shared" si="3"/>
        <v>5.5</v>
      </c>
      <c r="O40" s="63">
        <v>6.0</v>
      </c>
      <c r="P40" s="62">
        <v>6.0</v>
      </c>
      <c r="Q40" s="62">
        <v>6.0</v>
      </c>
      <c r="R40" s="62">
        <v>5.0</v>
      </c>
      <c r="S40" s="62">
        <v>6.0</v>
      </c>
      <c r="T40" s="366">
        <f t="shared" si="4"/>
        <v>5.5</v>
      </c>
      <c r="U40" s="62">
        <v>5.0</v>
      </c>
      <c r="V40" s="62">
        <v>6.0</v>
      </c>
      <c r="W40" s="62">
        <v>6.0</v>
      </c>
      <c r="X40" s="68">
        <f t="shared" si="5"/>
        <v>5.666666667</v>
      </c>
      <c r="Y40" s="63">
        <v>5.0</v>
      </c>
      <c r="Z40" s="62">
        <v>5.0</v>
      </c>
      <c r="AA40" s="63">
        <v>5.0</v>
      </c>
      <c r="AB40" s="212">
        <f t="shared" si="6"/>
        <v>5.166666667</v>
      </c>
      <c r="AC40" s="250">
        <v>6.0</v>
      </c>
      <c r="AD40" s="477">
        <v>6.0</v>
      </c>
      <c r="AE40" s="477">
        <v>6.0</v>
      </c>
      <c r="AF40" s="477">
        <v>6.0</v>
      </c>
      <c r="AG40" s="67">
        <f t="shared" si="7"/>
        <v>6</v>
      </c>
      <c r="AH40" s="250">
        <v>6.0</v>
      </c>
      <c r="AI40" s="250">
        <v>6.0</v>
      </c>
      <c r="AJ40" s="476">
        <v>6.0</v>
      </c>
      <c r="AK40" s="476">
        <v>5.0</v>
      </c>
      <c r="AL40" s="70">
        <f t="shared" si="8"/>
        <v>5.666666667</v>
      </c>
      <c r="AM40" s="371">
        <v>6.0</v>
      </c>
      <c r="AN40" s="172"/>
      <c r="AO40" s="172"/>
      <c r="AP40" s="172"/>
      <c r="AQ40" s="172"/>
      <c r="AR40" s="172"/>
      <c r="AS40" s="172"/>
      <c r="AT40" s="172"/>
      <c r="AU40" s="172"/>
    </row>
    <row r="41" ht="15.75" customHeight="1">
      <c r="A41" s="74">
        <v>34.0</v>
      </c>
      <c r="B41" s="75" t="s">
        <v>649</v>
      </c>
      <c r="C41" s="62" t="s">
        <v>45</v>
      </c>
      <c r="D41" s="65">
        <v>5.0</v>
      </c>
      <c r="E41" s="65">
        <v>5.0</v>
      </c>
      <c r="F41" s="305">
        <f t="shared" si="1"/>
        <v>5</v>
      </c>
      <c r="G41" s="65">
        <v>5.0</v>
      </c>
      <c r="H41" s="65">
        <v>5.0</v>
      </c>
      <c r="I41" s="85">
        <f t="shared" si="2"/>
        <v>5</v>
      </c>
      <c r="J41" s="65">
        <v>6.0</v>
      </c>
      <c r="K41" s="65">
        <v>5.0</v>
      </c>
      <c r="L41" s="65">
        <v>5.0</v>
      </c>
      <c r="M41" s="65">
        <v>5.0</v>
      </c>
      <c r="N41" s="365">
        <f t="shared" si="3"/>
        <v>5</v>
      </c>
      <c r="O41" s="63">
        <v>5.0</v>
      </c>
      <c r="P41" s="65">
        <v>5.0</v>
      </c>
      <c r="Q41" s="65">
        <v>5.0</v>
      </c>
      <c r="R41" s="65">
        <v>5.0</v>
      </c>
      <c r="S41" s="65">
        <v>5.0</v>
      </c>
      <c r="T41" s="366">
        <f t="shared" si="4"/>
        <v>5</v>
      </c>
      <c r="U41" s="65">
        <v>5.0</v>
      </c>
      <c r="V41" s="65">
        <v>5.0</v>
      </c>
      <c r="W41" s="65">
        <v>5.0</v>
      </c>
      <c r="X41" s="68">
        <f t="shared" si="5"/>
        <v>5</v>
      </c>
      <c r="Y41" s="65">
        <v>5.0</v>
      </c>
      <c r="Z41" s="65">
        <v>5.0</v>
      </c>
      <c r="AA41" s="65">
        <v>5.0</v>
      </c>
      <c r="AB41" s="212">
        <f t="shared" si="6"/>
        <v>5</v>
      </c>
      <c r="AC41" s="65">
        <v>5.0</v>
      </c>
      <c r="AD41" s="65">
        <v>5.0</v>
      </c>
      <c r="AE41" s="65">
        <v>5.0</v>
      </c>
      <c r="AF41" s="65">
        <v>5.0</v>
      </c>
      <c r="AG41" s="67">
        <f t="shared" si="7"/>
        <v>5</v>
      </c>
      <c r="AH41" s="65">
        <v>6.0</v>
      </c>
      <c r="AI41" s="65">
        <v>6.0</v>
      </c>
      <c r="AJ41" s="65">
        <v>6.0</v>
      </c>
      <c r="AK41" s="65">
        <v>4.0</v>
      </c>
      <c r="AL41" s="70">
        <f t="shared" si="8"/>
        <v>5.333333333</v>
      </c>
      <c r="AM41" s="371">
        <f t="shared" ref="AM41:AM45" si="11">SUM(AL41,AH41,AC41,Y41,U41,R41,Q41,P41,O41,L41)/10</f>
        <v>5.133333333</v>
      </c>
      <c r="AN41" s="172"/>
      <c r="AO41" s="172"/>
      <c r="AP41" s="172"/>
      <c r="AQ41" s="172"/>
      <c r="AR41" s="172"/>
      <c r="AS41" s="172"/>
      <c r="AT41" s="172"/>
      <c r="AU41" s="172"/>
    </row>
    <row r="42" ht="15.75" customHeight="1">
      <c r="A42" s="74">
        <v>35.0</v>
      </c>
      <c r="B42" s="75" t="s">
        <v>650</v>
      </c>
      <c r="C42" s="62" t="s">
        <v>44</v>
      </c>
      <c r="D42" s="65">
        <v>4.0</v>
      </c>
      <c r="E42" s="65">
        <v>4.0</v>
      </c>
      <c r="F42" s="305">
        <f t="shared" si="1"/>
        <v>4</v>
      </c>
      <c r="G42" s="65">
        <v>4.0</v>
      </c>
      <c r="H42" s="65">
        <v>4.0</v>
      </c>
      <c r="I42" s="85">
        <f t="shared" si="2"/>
        <v>4</v>
      </c>
      <c r="J42" s="65">
        <v>5.0</v>
      </c>
      <c r="K42" s="65">
        <v>3.0</v>
      </c>
      <c r="L42" s="65">
        <v>3.0</v>
      </c>
      <c r="M42" s="65">
        <v>3.0</v>
      </c>
      <c r="N42" s="365">
        <f t="shared" si="3"/>
        <v>3</v>
      </c>
      <c r="O42" s="63">
        <v>5.0</v>
      </c>
      <c r="P42" s="65">
        <v>4.0</v>
      </c>
      <c r="Q42" s="65">
        <v>4.0</v>
      </c>
      <c r="R42" s="65">
        <v>4.0</v>
      </c>
      <c r="S42" s="65">
        <v>4.0</v>
      </c>
      <c r="T42" s="366">
        <f t="shared" si="4"/>
        <v>4</v>
      </c>
      <c r="U42" s="65">
        <v>4.0</v>
      </c>
      <c r="V42" s="65">
        <v>4.0</v>
      </c>
      <c r="W42" s="65">
        <v>4.0</v>
      </c>
      <c r="X42" s="68">
        <f t="shared" si="5"/>
        <v>4</v>
      </c>
      <c r="Y42" s="65">
        <v>5.0</v>
      </c>
      <c r="Z42" s="65">
        <v>4.0</v>
      </c>
      <c r="AA42" s="65">
        <v>4.0</v>
      </c>
      <c r="AB42" s="212">
        <f t="shared" si="6"/>
        <v>4.25</v>
      </c>
      <c r="AC42" s="65">
        <v>5.0</v>
      </c>
      <c r="AD42" s="65">
        <v>5.0</v>
      </c>
      <c r="AE42" s="65">
        <v>5.0</v>
      </c>
      <c r="AF42" s="65">
        <v>5.0</v>
      </c>
      <c r="AG42" s="67">
        <f t="shared" si="7"/>
        <v>5</v>
      </c>
      <c r="AH42" s="65">
        <v>4.0</v>
      </c>
      <c r="AI42" s="65">
        <v>4.0</v>
      </c>
      <c r="AJ42" s="65">
        <v>4.0</v>
      </c>
      <c r="AK42" s="65">
        <v>3.0</v>
      </c>
      <c r="AL42" s="70">
        <f t="shared" si="8"/>
        <v>3.666666667</v>
      </c>
      <c r="AM42" s="371">
        <f t="shared" si="11"/>
        <v>4.166666667</v>
      </c>
      <c r="AN42" s="172"/>
      <c r="AO42" s="172"/>
      <c r="AP42" s="172"/>
      <c r="AQ42" s="172"/>
      <c r="AR42" s="172"/>
      <c r="AS42" s="172"/>
      <c r="AT42" s="172"/>
      <c r="AU42" s="172"/>
    </row>
    <row r="43" ht="15.75" customHeight="1">
      <c r="A43" s="74">
        <v>36.0</v>
      </c>
      <c r="B43" s="75" t="s">
        <v>651</v>
      </c>
      <c r="C43" s="62" t="s">
        <v>44</v>
      </c>
      <c r="D43" s="65">
        <v>5.0</v>
      </c>
      <c r="E43" s="65">
        <v>5.0</v>
      </c>
      <c r="F43" s="305">
        <f t="shared" si="1"/>
        <v>5</v>
      </c>
      <c r="G43" s="65">
        <v>5.0</v>
      </c>
      <c r="H43" s="65">
        <v>5.0</v>
      </c>
      <c r="I43" s="85">
        <f t="shared" si="2"/>
        <v>5</v>
      </c>
      <c r="J43" s="65">
        <v>5.0</v>
      </c>
      <c r="K43" s="65">
        <v>4.0</v>
      </c>
      <c r="L43" s="65">
        <v>4.0</v>
      </c>
      <c r="M43" s="65">
        <v>4.0</v>
      </c>
      <c r="N43" s="365">
        <f t="shared" si="3"/>
        <v>4</v>
      </c>
      <c r="O43" s="63">
        <v>6.0</v>
      </c>
      <c r="P43" s="65">
        <v>5.0</v>
      </c>
      <c r="Q43" s="65">
        <v>5.0</v>
      </c>
      <c r="R43" s="65">
        <v>5.0</v>
      </c>
      <c r="S43" s="65">
        <v>5.0</v>
      </c>
      <c r="T43" s="366">
        <f t="shared" si="4"/>
        <v>5</v>
      </c>
      <c r="U43" s="65">
        <v>6.0</v>
      </c>
      <c r="V43" s="65">
        <v>6.0</v>
      </c>
      <c r="W43" s="65">
        <v>6.0</v>
      </c>
      <c r="X43" s="68">
        <f t="shared" si="5"/>
        <v>6</v>
      </c>
      <c r="Y43" s="65">
        <v>5.0</v>
      </c>
      <c r="Z43" s="65">
        <v>5.0</v>
      </c>
      <c r="AA43" s="65">
        <v>5.0</v>
      </c>
      <c r="AB43" s="212">
        <f t="shared" si="6"/>
        <v>5.25</v>
      </c>
      <c r="AC43" s="65">
        <v>6.0</v>
      </c>
      <c r="AD43" s="65">
        <v>6.0</v>
      </c>
      <c r="AE43" s="65">
        <v>5.0</v>
      </c>
      <c r="AF43" s="65">
        <v>5.0</v>
      </c>
      <c r="AG43" s="67">
        <f t="shared" si="7"/>
        <v>5.333333333</v>
      </c>
      <c r="AH43" s="65">
        <v>5.0</v>
      </c>
      <c r="AI43" s="65">
        <v>5.0</v>
      </c>
      <c r="AJ43" s="65">
        <v>5.0</v>
      </c>
      <c r="AK43" s="65">
        <v>4.0</v>
      </c>
      <c r="AL43" s="70">
        <f t="shared" si="8"/>
        <v>4.666666667</v>
      </c>
      <c r="AM43" s="371">
        <f t="shared" si="11"/>
        <v>5.166666667</v>
      </c>
      <c r="AN43" s="172"/>
      <c r="AO43" s="172"/>
      <c r="AP43" s="172"/>
      <c r="AQ43" s="172"/>
      <c r="AR43" s="172"/>
      <c r="AS43" s="172"/>
      <c r="AT43" s="172"/>
      <c r="AU43" s="172"/>
    </row>
    <row r="44" ht="15.75" customHeight="1">
      <c r="A44" s="74">
        <v>37.0</v>
      </c>
      <c r="B44" s="75"/>
      <c r="C44" s="62"/>
      <c r="D44" s="75"/>
      <c r="E44" s="75"/>
      <c r="F44" s="305">
        <f t="shared" si="1"/>
        <v>0</v>
      </c>
      <c r="G44" s="75"/>
      <c r="H44" s="75"/>
      <c r="I44" s="85">
        <f t="shared" si="2"/>
        <v>0</v>
      </c>
      <c r="J44" s="75"/>
      <c r="K44" s="75"/>
      <c r="L44" s="75"/>
      <c r="M44" s="75"/>
      <c r="N44" s="365">
        <f t="shared" si="3"/>
        <v>0</v>
      </c>
      <c r="O44" s="63"/>
      <c r="P44" s="75"/>
      <c r="Q44" s="75"/>
      <c r="R44" s="75"/>
      <c r="S44" s="75"/>
      <c r="T44" s="366">
        <f t="shared" si="4"/>
        <v>0</v>
      </c>
      <c r="U44" s="75"/>
      <c r="V44" s="75"/>
      <c r="W44" s="75"/>
      <c r="X44" s="68">
        <f t="shared" si="5"/>
        <v>0</v>
      </c>
      <c r="Y44" s="75"/>
      <c r="Z44" s="75"/>
      <c r="AA44" s="75"/>
      <c r="AB44" s="212">
        <f t="shared" si="6"/>
        <v>0</v>
      </c>
      <c r="AC44" s="75"/>
      <c r="AD44" s="75"/>
      <c r="AE44" s="75"/>
      <c r="AF44" s="75"/>
      <c r="AG44" s="67">
        <f t="shared" si="7"/>
        <v>0</v>
      </c>
      <c r="AH44" s="75"/>
      <c r="AI44" s="75"/>
      <c r="AJ44" s="75"/>
      <c r="AK44" s="75"/>
      <c r="AL44" s="70">
        <f t="shared" si="8"/>
        <v>0</v>
      </c>
      <c r="AM44" s="371">
        <f t="shared" si="11"/>
        <v>0</v>
      </c>
      <c r="AN44" s="172"/>
      <c r="AO44" s="172"/>
      <c r="AP44" s="172"/>
      <c r="AQ44" s="172"/>
      <c r="AR44" s="172"/>
      <c r="AS44" s="172"/>
      <c r="AT44" s="172"/>
      <c r="AU44" s="172"/>
    </row>
    <row r="45" ht="15.75" customHeight="1">
      <c r="A45" s="84">
        <v>38.0</v>
      </c>
      <c r="B45" s="163"/>
      <c r="C45" s="391"/>
      <c r="D45" s="163"/>
      <c r="E45" s="163"/>
      <c r="F45" s="372">
        <f t="shared" si="1"/>
        <v>0</v>
      </c>
      <c r="G45" s="163"/>
      <c r="H45" s="163"/>
      <c r="I45" s="373">
        <f t="shared" si="2"/>
        <v>0</v>
      </c>
      <c r="J45" s="163"/>
      <c r="K45" s="163"/>
      <c r="L45" s="163"/>
      <c r="M45" s="163"/>
      <c r="N45" s="374">
        <f t="shared" si="3"/>
        <v>0</v>
      </c>
      <c r="O45" s="164"/>
      <c r="P45" s="163"/>
      <c r="Q45" s="163"/>
      <c r="R45" s="163"/>
      <c r="S45" s="163"/>
      <c r="T45" s="375">
        <f t="shared" si="4"/>
        <v>0</v>
      </c>
      <c r="U45" s="163"/>
      <c r="V45" s="163"/>
      <c r="W45" s="163"/>
      <c r="X45" s="166">
        <f t="shared" si="5"/>
        <v>0</v>
      </c>
      <c r="Y45" s="163"/>
      <c r="Z45" s="163"/>
      <c r="AA45" s="163"/>
      <c r="AB45" s="376">
        <f t="shared" si="6"/>
        <v>0</v>
      </c>
      <c r="AC45" s="163"/>
      <c r="AD45" s="163"/>
      <c r="AE45" s="163"/>
      <c r="AF45" s="163"/>
      <c r="AG45" s="377">
        <f t="shared" si="7"/>
        <v>0</v>
      </c>
      <c r="AH45" s="163"/>
      <c r="AI45" s="163"/>
      <c r="AJ45" s="163"/>
      <c r="AK45" s="163"/>
      <c r="AL45" s="168">
        <f t="shared" si="8"/>
        <v>0</v>
      </c>
      <c r="AM45" s="378">
        <f t="shared" si="11"/>
        <v>0</v>
      </c>
      <c r="AN45" s="172"/>
      <c r="AO45" s="172"/>
      <c r="AP45" s="172"/>
      <c r="AQ45" s="172"/>
      <c r="AR45" s="172"/>
      <c r="AS45" s="172"/>
      <c r="AT45" s="172"/>
      <c r="AU45" s="17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6:B7"/>
    <mergeCell ref="C6:C7"/>
    <mergeCell ref="D6:F6"/>
    <mergeCell ref="G6:I6"/>
    <mergeCell ref="K6:N6"/>
    <mergeCell ref="P6:T6"/>
    <mergeCell ref="U6:X6"/>
    <mergeCell ref="Y6:AA6"/>
    <mergeCell ref="AC6:AG6"/>
    <mergeCell ref="AH6:AL6"/>
    <mergeCell ref="B1:AM1"/>
    <mergeCell ref="C3:P3"/>
    <mergeCell ref="Q3:U3"/>
    <mergeCell ref="V3:AE3"/>
    <mergeCell ref="C4:P4"/>
    <mergeCell ref="V4:AJ4"/>
    <mergeCell ref="A6:A7"/>
    <mergeCell ref="AM6:AM7"/>
  </mergeCells>
  <printOptions/>
  <pageMargins bottom="0.75" footer="0.0" header="0.0" left="0.7" right="0.7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0"/>
    <col customWidth="1" min="2" max="2" width="43.0"/>
    <col customWidth="1" min="3" max="5" width="4.0"/>
    <col customWidth="1" min="6" max="7" width="3.78"/>
    <col customWidth="1" min="8" max="12" width="4.0"/>
    <col customWidth="1" min="13" max="13" width="4.11"/>
    <col customWidth="1" min="14" max="15" width="4.0"/>
    <col customWidth="1" min="16" max="16" width="4.44"/>
    <col customWidth="1" min="17" max="20" width="4.33"/>
    <col customWidth="1" min="21" max="21" width="4.11"/>
    <col customWidth="1" min="22" max="23" width="4.33"/>
    <col customWidth="1" min="24" max="24" width="4.44"/>
    <col customWidth="1" min="25" max="25" width="4.33"/>
    <col customWidth="1" min="26" max="26" width="4.11"/>
    <col customWidth="1" min="27" max="27" width="4.33"/>
    <col customWidth="1" min="28" max="28" width="4.11"/>
    <col customWidth="1" min="29" max="30" width="4.33"/>
    <col customWidth="1" min="31" max="31" width="4.0"/>
    <col customWidth="1" min="32" max="32" width="4.11"/>
    <col customWidth="1" min="33" max="33" width="4.33"/>
    <col customWidth="1" min="34" max="34" width="4.11"/>
    <col customWidth="1" min="35" max="35" width="4.33"/>
    <col customWidth="1" min="36" max="36" width="4.0"/>
    <col customWidth="1" min="37" max="37" width="4.33"/>
    <col customWidth="1" min="38" max="38" width="4.44"/>
    <col customWidth="1" min="39" max="39" width="7.67"/>
  </cols>
  <sheetData>
    <row r="1" ht="24.75" customHeight="1">
      <c r="A1" s="442" t="s">
        <v>586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4"/>
    </row>
    <row r="2" ht="15.75" customHeight="1">
      <c r="A2" s="445"/>
      <c r="B2" s="5"/>
      <c r="C2" s="5"/>
      <c r="D2" s="311"/>
      <c r="E2" s="5"/>
      <c r="F2" s="5"/>
      <c r="G2" s="31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M2" s="446"/>
    </row>
    <row r="3" ht="23.25" customHeight="1">
      <c r="A3" s="447"/>
      <c r="B3" s="9" t="s">
        <v>547</v>
      </c>
      <c r="C3" s="10" t="s">
        <v>2</v>
      </c>
      <c r="Q3" s="9" t="s">
        <v>310</v>
      </c>
      <c r="V3" s="11" t="s">
        <v>652</v>
      </c>
      <c r="AM3" s="446"/>
    </row>
    <row r="4" ht="21.75" customHeight="1">
      <c r="A4" s="448"/>
      <c r="B4" s="449" t="s">
        <v>549</v>
      </c>
      <c r="C4" s="450" t="s">
        <v>6</v>
      </c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49" t="s">
        <v>312</v>
      </c>
      <c r="R4" s="449"/>
      <c r="S4" s="449"/>
      <c r="T4" s="449"/>
      <c r="U4" s="449"/>
      <c r="V4" s="482" t="s">
        <v>653</v>
      </c>
      <c r="W4" s="451"/>
      <c r="X4" s="451"/>
      <c r="Y4" s="451"/>
      <c r="Z4" s="451"/>
      <c r="AA4" s="451"/>
      <c r="AB4" s="451"/>
      <c r="AC4" s="451"/>
      <c r="AD4" s="451"/>
      <c r="AE4" s="451"/>
      <c r="AF4" s="452"/>
      <c r="AG4" s="452"/>
      <c r="AH4" s="453"/>
      <c r="AI4" s="453"/>
      <c r="AJ4" s="453"/>
      <c r="AK4" s="453"/>
      <c r="AL4" s="453"/>
      <c r="AM4" s="454"/>
    </row>
    <row r="5" ht="15.75" customHeight="1">
      <c r="A5" s="19"/>
      <c r="B5" s="19"/>
      <c r="C5" s="19"/>
      <c r="D5" s="91"/>
      <c r="G5" s="91"/>
    </row>
    <row r="6" ht="15.75" customHeight="1">
      <c r="A6" s="176" t="s">
        <v>9</v>
      </c>
      <c r="B6" s="176" t="s">
        <v>10</v>
      </c>
      <c r="C6" s="329" t="s">
        <v>11</v>
      </c>
      <c r="D6" s="22" t="s">
        <v>12</v>
      </c>
      <c r="E6" s="23"/>
      <c r="F6" s="24"/>
      <c r="G6" s="330" t="s">
        <v>53</v>
      </c>
      <c r="H6" s="23"/>
      <c r="I6" s="24"/>
      <c r="J6" s="331" t="s">
        <v>131</v>
      </c>
      <c r="K6" s="332" t="s">
        <v>54</v>
      </c>
      <c r="L6" s="23"/>
      <c r="M6" s="23"/>
      <c r="N6" s="24"/>
      <c r="O6" s="333" t="s">
        <v>133</v>
      </c>
      <c r="P6" s="334" t="s">
        <v>14</v>
      </c>
      <c r="Q6" s="23"/>
      <c r="R6" s="23"/>
      <c r="S6" s="23"/>
      <c r="T6" s="24"/>
      <c r="U6" s="26" t="s">
        <v>15</v>
      </c>
      <c r="V6" s="23"/>
      <c r="W6" s="23"/>
      <c r="X6" s="24"/>
      <c r="Y6" s="273" t="s">
        <v>16</v>
      </c>
      <c r="Z6" s="23"/>
      <c r="AA6" s="335"/>
      <c r="AB6" s="336"/>
      <c r="AC6" s="25" t="s">
        <v>17</v>
      </c>
      <c r="AD6" s="23"/>
      <c r="AE6" s="23"/>
      <c r="AF6" s="23"/>
      <c r="AG6" s="24"/>
      <c r="AH6" s="28" t="s">
        <v>18</v>
      </c>
      <c r="AI6" s="23"/>
      <c r="AJ6" s="23"/>
      <c r="AK6" s="23"/>
      <c r="AL6" s="24"/>
      <c r="AM6" s="337" t="s">
        <v>19</v>
      </c>
    </row>
    <row r="7" ht="66.0" customHeight="1">
      <c r="A7" s="188"/>
      <c r="B7" s="188"/>
      <c r="C7" s="188"/>
      <c r="D7" s="217" t="s">
        <v>590</v>
      </c>
      <c r="E7" s="218" t="s">
        <v>591</v>
      </c>
      <c r="F7" s="36" t="s">
        <v>20</v>
      </c>
      <c r="G7" s="338" t="s">
        <v>592</v>
      </c>
      <c r="H7" s="339" t="s">
        <v>591</v>
      </c>
      <c r="I7" s="392" t="s">
        <v>20</v>
      </c>
      <c r="J7" s="341" t="s">
        <v>593</v>
      </c>
      <c r="K7" s="381" t="s">
        <v>594</v>
      </c>
      <c r="L7" s="382" t="s">
        <v>595</v>
      </c>
      <c r="M7" s="382" t="s">
        <v>596</v>
      </c>
      <c r="N7" s="344" t="s">
        <v>20</v>
      </c>
      <c r="O7" s="397" t="s">
        <v>597</v>
      </c>
      <c r="P7" s="346" t="s">
        <v>598</v>
      </c>
      <c r="Q7" s="347" t="s">
        <v>599</v>
      </c>
      <c r="R7" s="347" t="s">
        <v>600</v>
      </c>
      <c r="S7" s="347" t="s">
        <v>601</v>
      </c>
      <c r="T7" s="348" t="s">
        <v>20</v>
      </c>
      <c r="U7" s="40" t="s">
        <v>602</v>
      </c>
      <c r="V7" s="350" t="s">
        <v>603</v>
      </c>
      <c r="W7" s="351" t="s">
        <v>604</v>
      </c>
      <c r="X7" s="352" t="s">
        <v>20</v>
      </c>
      <c r="Y7" s="286" t="s">
        <v>605</v>
      </c>
      <c r="Z7" s="287" t="s">
        <v>606</v>
      </c>
      <c r="AA7" s="289" t="s">
        <v>607</v>
      </c>
      <c r="AB7" s="288" t="s">
        <v>20</v>
      </c>
      <c r="AC7" s="238" t="s">
        <v>608</v>
      </c>
      <c r="AD7" s="239" t="s">
        <v>609</v>
      </c>
      <c r="AE7" s="239" t="s">
        <v>610</v>
      </c>
      <c r="AF7" s="354" t="s">
        <v>611</v>
      </c>
      <c r="AG7" s="240" t="s">
        <v>20</v>
      </c>
      <c r="AH7" s="355" t="s">
        <v>612</v>
      </c>
      <c r="AI7" s="356" t="s">
        <v>613</v>
      </c>
      <c r="AJ7" s="356" t="s">
        <v>614</v>
      </c>
      <c r="AK7" s="357" t="s">
        <v>615</v>
      </c>
      <c r="AL7" s="358" t="s">
        <v>20</v>
      </c>
      <c r="AM7" s="188"/>
    </row>
    <row r="8" ht="15.75" customHeight="1">
      <c r="A8" s="59">
        <v>1.0</v>
      </c>
      <c r="B8" s="294" t="s">
        <v>654</v>
      </c>
      <c r="C8" s="295" t="s">
        <v>44</v>
      </c>
      <c r="D8" s="62">
        <v>6.0</v>
      </c>
      <c r="E8" s="483">
        <v>6.0</v>
      </c>
      <c r="F8" s="305">
        <f t="shared" ref="F8:F46" si="1">SUM(D8:E8)/2</f>
        <v>6</v>
      </c>
      <c r="G8" s="484">
        <v>5.0</v>
      </c>
      <c r="H8" s="485">
        <v>5.0</v>
      </c>
      <c r="I8" s="85">
        <f t="shared" ref="I8:I46" si="2">SUM(G8:H8)/2</f>
        <v>5</v>
      </c>
      <c r="J8" s="486">
        <v>5.0</v>
      </c>
      <c r="K8" s="473">
        <v>4.0</v>
      </c>
      <c r="L8" s="473">
        <v>4.0</v>
      </c>
      <c r="M8" s="473">
        <v>4.0</v>
      </c>
      <c r="N8" s="362">
        <f t="shared" ref="N8:N46" si="3">SUM(L8:M8)/2</f>
        <v>4</v>
      </c>
      <c r="O8" s="63">
        <v>5.0</v>
      </c>
      <c r="P8" s="63">
        <v>5.0</v>
      </c>
      <c r="Q8" s="63">
        <v>5.0</v>
      </c>
      <c r="R8" s="63">
        <v>5.0</v>
      </c>
      <c r="S8" s="63">
        <v>5.0</v>
      </c>
      <c r="T8" s="487">
        <f t="shared" ref="T8:T37" si="4">SUM(R8:S8)/2</f>
        <v>5</v>
      </c>
      <c r="U8" s="62">
        <v>6.0</v>
      </c>
      <c r="V8" s="484">
        <v>5.0</v>
      </c>
      <c r="W8" s="155">
        <v>5.0</v>
      </c>
      <c r="X8" s="158">
        <f t="shared" ref="X8:X24" si="5">SUM(U8:W8)/3</f>
        <v>5.333333333</v>
      </c>
      <c r="Y8" s="156">
        <v>5.0</v>
      </c>
      <c r="Z8" s="155">
        <v>5.0</v>
      </c>
      <c r="AA8" s="156">
        <v>5.0</v>
      </c>
      <c r="AB8" s="246">
        <f t="shared" ref="AB8:AB11" si="6">SUM(X8:AA8)/4</f>
        <v>5.083333333</v>
      </c>
      <c r="AC8" s="245">
        <v>5.0</v>
      </c>
      <c r="AD8" s="474">
        <v>5.0</v>
      </c>
      <c r="AE8" s="474">
        <v>5.0</v>
      </c>
      <c r="AF8" s="474">
        <v>5.0</v>
      </c>
      <c r="AG8" s="248">
        <v>5.0</v>
      </c>
      <c r="AH8" s="245">
        <v>5.0</v>
      </c>
      <c r="AI8" s="245">
        <v>5.0</v>
      </c>
      <c r="AJ8" s="473">
        <v>5.0</v>
      </c>
      <c r="AK8" s="473">
        <v>5.0</v>
      </c>
      <c r="AL8" s="160">
        <f t="shared" ref="AL8:AL46" si="7">SUM(AI8:AK8)/3</f>
        <v>5</v>
      </c>
      <c r="AM8" s="364">
        <f t="shared" ref="AM8:AM46" si="8">SUM(AL8,AH8,AC8,Y8,U8,R8,Q8,P8,O8,L8)/10</f>
        <v>5</v>
      </c>
    </row>
    <row r="9" ht="15.75" customHeight="1">
      <c r="A9" s="74">
        <f t="shared" ref="A9:A45" si="9">A8+1</f>
        <v>2</v>
      </c>
      <c r="B9" s="304" t="s">
        <v>655</v>
      </c>
      <c r="C9" s="65" t="s">
        <v>44</v>
      </c>
      <c r="D9" s="62">
        <v>2.0</v>
      </c>
      <c r="E9" s="483">
        <v>2.0</v>
      </c>
      <c r="F9" s="305">
        <f t="shared" si="1"/>
        <v>2</v>
      </c>
      <c r="G9" s="488">
        <v>2.0</v>
      </c>
      <c r="H9" s="489">
        <v>2.0</v>
      </c>
      <c r="I9" s="85">
        <f t="shared" si="2"/>
        <v>2</v>
      </c>
      <c r="J9" s="488">
        <v>3.0</v>
      </c>
      <c r="K9" s="476">
        <v>2.0</v>
      </c>
      <c r="L9" s="476">
        <v>2.0</v>
      </c>
      <c r="M9" s="476">
        <v>2.0</v>
      </c>
      <c r="N9" s="365">
        <f t="shared" si="3"/>
        <v>2</v>
      </c>
      <c r="O9" s="63">
        <v>3.0</v>
      </c>
      <c r="P9" s="63">
        <v>5.0</v>
      </c>
      <c r="Q9" s="63">
        <v>5.0</v>
      </c>
      <c r="R9" s="63">
        <v>3.0</v>
      </c>
      <c r="S9" s="63">
        <v>3.0</v>
      </c>
      <c r="T9" s="490">
        <f t="shared" si="4"/>
        <v>3</v>
      </c>
      <c r="U9" s="62">
        <v>5.0</v>
      </c>
      <c r="V9" s="488">
        <v>4.0</v>
      </c>
      <c r="W9" s="488">
        <v>4.0</v>
      </c>
      <c r="X9" s="68">
        <f t="shared" si="5"/>
        <v>4.333333333</v>
      </c>
      <c r="Y9" s="63">
        <v>3.0</v>
      </c>
      <c r="Z9" s="62">
        <v>3.0</v>
      </c>
      <c r="AA9" s="63">
        <v>3.0</v>
      </c>
      <c r="AB9" s="212">
        <f t="shared" si="6"/>
        <v>3.333333333</v>
      </c>
      <c r="AC9" s="250">
        <v>4.0</v>
      </c>
      <c r="AD9" s="250">
        <v>4.0</v>
      </c>
      <c r="AE9" s="250">
        <v>4.0</v>
      </c>
      <c r="AF9" s="250">
        <v>4.0</v>
      </c>
      <c r="AG9" s="67">
        <f t="shared" ref="AG9:AG12" si="10">SUM(AD9:AF9)/3</f>
        <v>4</v>
      </c>
      <c r="AH9" s="250">
        <v>2.0</v>
      </c>
      <c r="AI9" s="250">
        <v>2.0</v>
      </c>
      <c r="AJ9" s="476">
        <v>2.0</v>
      </c>
      <c r="AK9" s="476">
        <v>2.0</v>
      </c>
      <c r="AL9" s="70">
        <f t="shared" si="7"/>
        <v>2</v>
      </c>
      <c r="AM9" s="371">
        <f t="shared" si="8"/>
        <v>3.4</v>
      </c>
    </row>
    <row r="10" ht="15.75" customHeight="1">
      <c r="A10" s="74">
        <f t="shared" si="9"/>
        <v>3</v>
      </c>
      <c r="B10" s="304" t="s">
        <v>656</v>
      </c>
      <c r="C10" s="65" t="s">
        <v>45</v>
      </c>
      <c r="D10" s="62">
        <v>6.0</v>
      </c>
      <c r="E10" s="483">
        <v>6.0</v>
      </c>
      <c r="F10" s="305">
        <f t="shared" si="1"/>
        <v>6</v>
      </c>
      <c r="G10" s="488">
        <v>6.0</v>
      </c>
      <c r="H10" s="489">
        <v>6.0</v>
      </c>
      <c r="I10" s="85">
        <f t="shared" si="2"/>
        <v>6</v>
      </c>
      <c r="J10" s="488">
        <v>6.0</v>
      </c>
      <c r="K10" s="476">
        <v>4.0</v>
      </c>
      <c r="L10" s="476">
        <v>4.0</v>
      </c>
      <c r="M10" s="476">
        <v>4.0</v>
      </c>
      <c r="N10" s="365">
        <f t="shared" si="3"/>
        <v>4</v>
      </c>
      <c r="O10" s="63">
        <v>6.0</v>
      </c>
      <c r="P10" s="63">
        <v>6.0</v>
      </c>
      <c r="Q10" s="63">
        <v>6.0</v>
      </c>
      <c r="R10" s="63">
        <v>6.0</v>
      </c>
      <c r="S10" s="63">
        <v>6.0</v>
      </c>
      <c r="T10" s="490">
        <f t="shared" si="4"/>
        <v>6</v>
      </c>
      <c r="U10" s="62">
        <v>6.0</v>
      </c>
      <c r="V10" s="488">
        <v>5.0</v>
      </c>
      <c r="W10" s="488">
        <v>6.0</v>
      </c>
      <c r="X10" s="68">
        <f t="shared" si="5"/>
        <v>5.666666667</v>
      </c>
      <c r="Y10" s="63">
        <v>6.0</v>
      </c>
      <c r="Z10" s="63">
        <v>6.0</v>
      </c>
      <c r="AA10" s="63">
        <v>6.0</v>
      </c>
      <c r="AB10" s="212">
        <f t="shared" si="6"/>
        <v>5.916666667</v>
      </c>
      <c r="AC10" s="250">
        <v>6.0</v>
      </c>
      <c r="AD10" s="250">
        <v>6.0</v>
      </c>
      <c r="AE10" s="250">
        <v>6.0</v>
      </c>
      <c r="AF10" s="250">
        <v>6.0</v>
      </c>
      <c r="AG10" s="67">
        <f t="shared" si="10"/>
        <v>6</v>
      </c>
      <c r="AH10" s="250">
        <v>5.0</v>
      </c>
      <c r="AI10" s="250">
        <v>5.0</v>
      </c>
      <c r="AJ10" s="476">
        <v>5.0</v>
      </c>
      <c r="AK10" s="476">
        <v>6.0</v>
      </c>
      <c r="AL10" s="70">
        <f t="shared" si="7"/>
        <v>5.333333333</v>
      </c>
      <c r="AM10" s="371">
        <f t="shared" si="8"/>
        <v>5.633333333</v>
      </c>
    </row>
    <row r="11" ht="15.75" customHeight="1">
      <c r="A11" s="74">
        <f t="shared" si="9"/>
        <v>4</v>
      </c>
      <c r="B11" s="304" t="s">
        <v>657</v>
      </c>
      <c r="C11" s="65" t="s">
        <v>45</v>
      </c>
      <c r="D11" s="62">
        <v>6.0</v>
      </c>
      <c r="E11" s="483">
        <v>6.0</v>
      </c>
      <c r="F11" s="305">
        <f t="shared" si="1"/>
        <v>6</v>
      </c>
      <c r="G11" s="488">
        <v>6.0</v>
      </c>
      <c r="H11" s="489">
        <v>6.0</v>
      </c>
      <c r="I11" s="85">
        <f t="shared" si="2"/>
        <v>6</v>
      </c>
      <c r="J11" s="488">
        <v>6.0</v>
      </c>
      <c r="K11" s="476">
        <v>4.0</v>
      </c>
      <c r="L11" s="476">
        <v>4.0</v>
      </c>
      <c r="M11" s="476">
        <v>4.0</v>
      </c>
      <c r="N11" s="365">
        <f t="shared" si="3"/>
        <v>4</v>
      </c>
      <c r="O11" s="63">
        <v>6.0</v>
      </c>
      <c r="P11" s="63">
        <v>6.0</v>
      </c>
      <c r="Q11" s="63">
        <v>6.0</v>
      </c>
      <c r="R11" s="63">
        <v>6.0</v>
      </c>
      <c r="S11" s="63">
        <v>6.0</v>
      </c>
      <c r="T11" s="490">
        <f t="shared" si="4"/>
        <v>6</v>
      </c>
      <c r="U11" s="62">
        <v>6.0</v>
      </c>
      <c r="V11" s="488">
        <v>5.0</v>
      </c>
      <c r="W11" s="488">
        <v>6.0</v>
      </c>
      <c r="X11" s="68">
        <f t="shared" si="5"/>
        <v>5.666666667</v>
      </c>
      <c r="Y11" s="63">
        <v>6.0</v>
      </c>
      <c r="Z11" s="63">
        <v>6.0</v>
      </c>
      <c r="AA11" s="63">
        <v>6.0</v>
      </c>
      <c r="AB11" s="212">
        <f t="shared" si="6"/>
        <v>5.916666667</v>
      </c>
      <c r="AC11" s="250">
        <v>6.0</v>
      </c>
      <c r="AD11" s="250">
        <v>6.0</v>
      </c>
      <c r="AE11" s="250">
        <v>6.0</v>
      </c>
      <c r="AF11" s="250">
        <v>6.0</v>
      </c>
      <c r="AG11" s="67">
        <f t="shared" si="10"/>
        <v>6</v>
      </c>
      <c r="AH11" s="250">
        <v>6.0</v>
      </c>
      <c r="AI11" s="250">
        <v>6.0</v>
      </c>
      <c r="AJ11" s="476">
        <v>6.0</v>
      </c>
      <c r="AK11" s="476">
        <v>6.0</v>
      </c>
      <c r="AL11" s="70">
        <f t="shared" si="7"/>
        <v>6</v>
      </c>
      <c r="AM11" s="371">
        <f t="shared" si="8"/>
        <v>5.8</v>
      </c>
    </row>
    <row r="12" ht="15.75" customHeight="1">
      <c r="A12" s="74">
        <f t="shared" si="9"/>
        <v>5</v>
      </c>
      <c r="B12" s="304" t="s">
        <v>658</v>
      </c>
      <c r="C12" s="65" t="s">
        <v>44</v>
      </c>
      <c r="D12" s="62">
        <v>6.0</v>
      </c>
      <c r="E12" s="483">
        <v>6.0</v>
      </c>
      <c r="F12" s="305">
        <f t="shared" si="1"/>
        <v>6</v>
      </c>
      <c r="G12" s="488">
        <v>6.0</v>
      </c>
      <c r="H12" s="489">
        <v>6.0</v>
      </c>
      <c r="I12" s="85">
        <f t="shared" si="2"/>
        <v>6</v>
      </c>
      <c r="J12" s="488">
        <v>5.0</v>
      </c>
      <c r="K12" s="476">
        <v>4.0</v>
      </c>
      <c r="L12" s="476">
        <v>4.0</v>
      </c>
      <c r="M12" s="476">
        <v>4.0</v>
      </c>
      <c r="N12" s="365">
        <f t="shared" si="3"/>
        <v>4</v>
      </c>
      <c r="O12" s="63">
        <v>5.0</v>
      </c>
      <c r="P12" s="63">
        <v>6.0</v>
      </c>
      <c r="Q12" s="63">
        <v>6.0</v>
      </c>
      <c r="R12" s="63">
        <v>5.0</v>
      </c>
      <c r="S12" s="63">
        <v>5.0</v>
      </c>
      <c r="T12" s="490">
        <f t="shared" si="4"/>
        <v>5</v>
      </c>
      <c r="U12" s="62">
        <v>6.0</v>
      </c>
      <c r="V12" s="488">
        <v>5.0</v>
      </c>
      <c r="W12" s="488">
        <v>6.0</v>
      </c>
      <c r="X12" s="68">
        <f t="shared" si="5"/>
        <v>5.666666667</v>
      </c>
      <c r="Y12" s="63">
        <v>5.0</v>
      </c>
      <c r="Z12" s="63">
        <v>5.0</v>
      </c>
      <c r="AA12" s="63">
        <v>5.0</v>
      </c>
      <c r="AB12" s="212">
        <v>5.0</v>
      </c>
      <c r="AC12" s="250">
        <v>5.0</v>
      </c>
      <c r="AD12" s="250">
        <v>5.0</v>
      </c>
      <c r="AE12" s="250">
        <v>5.0</v>
      </c>
      <c r="AF12" s="250">
        <v>5.0</v>
      </c>
      <c r="AG12" s="67">
        <f t="shared" si="10"/>
        <v>5</v>
      </c>
      <c r="AH12" s="250">
        <v>5.0</v>
      </c>
      <c r="AI12" s="250">
        <v>5.0</v>
      </c>
      <c r="AJ12" s="476">
        <v>5.0</v>
      </c>
      <c r="AK12" s="476">
        <v>6.0</v>
      </c>
      <c r="AL12" s="70">
        <f t="shared" si="7"/>
        <v>5.333333333</v>
      </c>
      <c r="AM12" s="371">
        <f t="shared" si="8"/>
        <v>5.233333333</v>
      </c>
    </row>
    <row r="13" ht="15.75" customHeight="1">
      <c r="A13" s="74">
        <f t="shared" si="9"/>
        <v>6</v>
      </c>
      <c r="B13" s="304" t="s">
        <v>659</v>
      </c>
      <c r="C13" s="65" t="s">
        <v>45</v>
      </c>
      <c r="D13" s="62">
        <v>6.0</v>
      </c>
      <c r="E13" s="483">
        <v>6.0</v>
      </c>
      <c r="F13" s="305">
        <f t="shared" si="1"/>
        <v>6</v>
      </c>
      <c r="G13" s="488">
        <v>5.0</v>
      </c>
      <c r="H13" s="489">
        <v>5.0</v>
      </c>
      <c r="I13" s="85">
        <f t="shared" si="2"/>
        <v>5</v>
      </c>
      <c r="J13" s="488">
        <v>4.0</v>
      </c>
      <c r="K13" s="476">
        <v>4.0</v>
      </c>
      <c r="L13" s="476">
        <v>4.0</v>
      </c>
      <c r="M13" s="476">
        <v>4.0</v>
      </c>
      <c r="N13" s="365">
        <f t="shared" si="3"/>
        <v>4</v>
      </c>
      <c r="O13" s="63">
        <v>5.0</v>
      </c>
      <c r="P13" s="63">
        <v>5.0</v>
      </c>
      <c r="Q13" s="63">
        <v>5.0</v>
      </c>
      <c r="R13" s="63">
        <v>5.0</v>
      </c>
      <c r="S13" s="63">
        <v>5.0</v>
      </c>
      <c r="T13" s="490">
        <f t="shared" si="4"/>
        <v>5</v>
      </c>
      <c r="U13" s="62">
        <v>6.0</v>
      </c>
      <c r="V13" s="488">
        <v>4.0</v>
      </c>
      <c r="W13" s="488">
        <v>4.0</v>
      </c>
      <c r="X13" s="68">
        <f t="shared" si="5"/>
        <v>4.666666667</v>
      </c>
      <c r="Y13" s="63">
        <v>5.0</v>
      </c>
      <c r="Z13" s="63">
        <v>5.0</v>
      </c>
      <c r="AA13" s="63">
        <v>5.0</v>
      </c>
      <c r="AB13" s="212">
        <f t="shared" ref="AB13:AB28" si="11">SUM(X13:AA13)/4</f>
        <v>4.916666667</v>
      </c>
      <c r="AC13" s="250">
        <v>5.0</v>
      </c>
      <c r="AD13" s="250">
        <v>5.0</v>
      </c>
      <c r="AE13" s="250">
        <v>5.0</v>
      </c>
      <c r="AF13" s="250">
        <v>5.0</v>
      </c>
      <c r="AG13" s="67">
        <v>5.0</v>
      </c>
      <c r="AH13" s="250">
        <v>4.0</v>
      </c>
      <c r="AI13" s="250">
        <v>4.0</v>
      </c>
      <c r="AJ13" s="476">
        <v>4.0</v>
      </c>
      <c r="AK13" s="476">
        <v>5.0</v>
      </c>
      <c r="AL13" s="70">
        <f t="shared" si="7"/>
        <v>4.333333333</v>
      </c>
      <c r="AM13" s="371">
        <f t="shared" si="8"/>
        <v>4.833333333</v>
      </c>
    </row>
    <row r="14" ht="15.75" customHeight="1">
      <c r="A14" s="74">
        <f t="shared" si="9"/>
        <v>7</v>
      </c>
      <c r="B14" s="304" t="s">
        <v>660</v>
      </c>
      <c r="C14" s="65" t="s">
        <v>44</v>
      </c>
      <c r="D14" s="62">
        <v>6.0</v>
      </c>
      <c r="E14" s="483">
        <v>6.0</v>
      </c>
      <c r="F14" s="305">
        <f t="shared" si="1"/>
        <v>6</v>
      </c>
      <c r="G14" s="488">
        <v>5.0</v>
      </c>
      <c r="H14" s="489">
        <v>5.0</v>
      </c>
      <c r="I14" s="85">
        <f t="shared" si="2"/>
        <v>5</v>
      </c>
      <c r="J14" s="488">
        <v>4.0</v>
      </c>
      <c r="K14" s="476">
        <v>4.0</v>
      </c>
      <c r="L14" s="476">
        <v>4.0</v>
      </c>
      <c r="M14" s="476">
        <v>4.0</v>
      </c>
      <c r="N14" s="365">
        <f t="shared" si="3"/>
        <v>4</v>
      </c>
      <c r="O14" s="63">
        <v>4.0</v>
      </c>
      <c r="P14" s="63">
        <v>5.0</v>
      </c>
      <c r="Q14" s="63">
        <v>5.0</v>
      </c>
      <c r="R14" s="63">
        <v>4.0</v>
      </c>
      <c r="S14" s="63">
        <v>4.0</v>
      </c>
      <c r="T14" s="490">
        <f t="shared" si="4"/>
        <v>4</v>
      </c>
      <c r="U14" s="62">
        <v>6.0</v>
      </c>
      <c r="V14" s="488">
        <v>5.0</v>
      </c>
      <c r="W14" s="488">
        <v>4.0</v>
      </c>
      <c r="X14" s="68">
        <f t="shared" si="5"/>
        <v>5</v>
      </c>
      <c r="Y14" s="63">
        <v>4.0</v>
      </c>
      <c r="Z14" s="63">
        <v>4.0</v>
      </c>
      <c r="AA14" s="63">
        <v>4.0</v>
      </c>
      <c r="AB14" s="212">
        <f t="shared" si="11"/>
        <v>4.25</v>
      </c>
      <c r="AC14" s="250">
        <v>5.0</v>
      </c>
      <c r="AD14" s="250">
        <v>5.0</v>
      </c>
      <c r="AE14" s="250">
        <v>5.0</v>
      </c>
      <c r="AF14" s="250">
        <v>5.0</v>
      </c>
      <c r="AG14" s="67">
        <f t="shared" ref="AG14:AG15" si="12">SUM(AD14:AF14)/3</f>
        <v>5</v>
      </c>
      <c r="AH14" s="250">
        <v>5.0</v>
      </c>
      <c r="AI14" s="250">
        <v>5.0</v>
      </c>
      <c r="AJ14" s="476">
        <v>5.0</v>
      </c>
      <c r="AK14" s="476">
        <v>5.0</v>
      </c>
      <c r="AL14" s="70">
        <f t="shared" si="7"/>
        <v>5</v>
      </c>
      <c r="AM14" s="371">
        <f t="shared" si="8"/>
        <v>4.7</v>
      </c>
    </row>
    <row r="15" ht="15.75" customHeight="1">
      <c r="A15" s="74">
        <f t="shared" si="9"/>
        <v>8</v>
      </c>
      <c r="B15" s="304" t="s">
        <v>661</v>
      </c>
      <c r="C15" s="65" t="s">
        <v>44</v>
      </c>
      <c r="D15" s="62">
        <v>2.0</v>
      </c>
      <c r="E15" s="483">
        <v>2.0</v>
      </c>
      <c r="F15" s="305">
        <f t="shared" si="1"/>
        <v>2</v>
      </c>
      <c r="G15" s="488">
        <v>2.0</v>
      </c>
      <c r="H15" s="489">
        <v>2.0</v>
      </c>
      <c r="I15" s="85">
        <f t="shared" si="2"/>
        <v>2</v>
      </c>
      <c r="J15" s="488">
        <v>3.0</v>
      </c>
      <c r="K15" s="476">
        <v>2.0</v>
      </c>
      <c r="L15" s="476">
        <v>2.0</v>
      </c>
      <c r="M15" s="476">
        <v>2.0</v>
      </c>
      <c r="N15" s="365">
        <f t="shared" si="3"/>
        <v>2</v>
      </c>
      <c r="O15" s="63">
        <v>3.0</v>
      </c>
      <c r="P15" s="63">
        <v>5.0</v>
      </c>
      <c r="Q15" s="63">
        <v>5.0</v>
      </c>
      <c r="R15" s="63">
        <v>3.0</v>
      </c>
      <c r="S15" s="63">
        <v>3.0</v>
      </c>
      <c r="T15" s="490">
        <f t="shared" si="4"/>
        <v>3</v>
      </c>
      <c r="U15" s="62">
        <v>5.0</v>
      </c>
      <c r="V15" s="488">
        <v>4.0</v>
      </c>
      <c r="W15" s="488">
        <v>4.0</v>
      </c>
      <c r="X15" s="68">
        <f t="shared" si="5"/>
        <v>4.333333333</v>
      </c>
      <c r="Y15" s="63">
        <v>3.0</v>
      </c>
      <c r="Z15" s="63">
        <v>3.0</v>
      </c>
      <c r="AA15" s="63">
        <v>3.0</v>
      </c>
      <c r="AB15" s="212">
        <f t="shared" si="11"/>
        <v>3.333333333</v>
      </c>
      <c r="AC15" s="250">
        <v>4.0</v>
      </c>
      <c r="AD15" s="250">
        <v>4.0</v>
      </c>
      <c r="AE15" s="250">
        <v>4.0</v>
      </c>
      <c r="AF15" s="250">
        <v>4.0</v>
      </c>
      <c r="AG15" s="67">
        <f t="shared" si="12"/>
        <v>4</v>
      </c>
      <c r="AH15" s="250">
        <v>2.0</v>
      </c>
      <c r="AI15" s="250">
        <v>2.0</v>
      </c>
      <c r="AJ15" s="476">
        <v>2.0</v>
      </c>
      <c r="AK15" s="476">
        <v>2.0</v>
      </c>
      <c r="AL15" s="70">
        <f t="shared" si="7"/>
        <v>2</v>
      </c>
      <c r="AM15" s="371">
        <f t="shared" si="8"/>
        <v>3.4</v>
      </c>
    </row>
    <row r="16" ht="15.75" customHeight="1">
      <c r="A16" s="74">
        <f t="shared" si="9"/>
        <v>9</v>
      </c>
      <c r="B16" s="304" t="s">
        <v>662</v>
      </c>
      <c r="C16" s="65" t="s">
        <v>45</v>
      </c>
      <c r="D16" s="62">
        <v>6.0</v>
      </c>
      <c r="E16" s="483">
        <v>6.0</v>
      </c>
      <c r="F16" s="305">
        <f t="shared" si="1"/>
        <v>6</v>
      </c>
      <c r="G16" s="488">
        <v>6.0</v>
      </c>
      <c r="H16" s="489">
        <v>6.0</v>
      </c>
      <c r="I16" s="85">
        <f t="shared" si="2"/>
        <v>6</v>
      </c>
      <c r="J16" s="488">
        <v>6.0</v>
      </c>
      <c r="K16" s="476">
        <v>4.0</v>
      </c>
      <c r="L16" s="476">
        <v>4.0</v>
      </c>
      <c r="M16" s="476">
        <v>4.0</v>
      </c>
      <c r="N16" s="365">
        <f t="shared" si="3"/>
        <v>4</v>
      </c>
      <c r="O16" s="63">
        <v>6.0</v>
      </c>
      <c r="P16" s="63">
        <v>6.0</v>
      </c>
      <c r="Q16" s="63">
        <v>6.0</v>
      </c>
      <c r="R16" s="63">
        <v>6.0</v>
      </c>
      <c r="S16" s="63">
        <v>6.0</v>
      </c>
      <c r="T16" s="490">
        <f t="shared" si="4"/>
        <v>6</v>
      </c>
      <c r="U16" s="62">
        <v>6.0</v>
      </c>
      <c r="V16" s="488">
        <v>5.0</v>
      </c>
      <c r="W16" s="488">
        <v>6.0</v>
      </c>
      <c r="X16" s="68">
        <f t="shared" si="5"/>
        <v>5.666666667</v>
      </c>
      <c r="Y16" s="63">
        <v>6.0</v>
      </c>
      <c r="Z16" s="63">
        <v>6.0</v>
      </c>
      <c r="AA16" s="63">
        <v>6.0</v>
      </c>
      <c r="AB16" s="212">
        <f t="shared" si="11"/>
        <v>5.916666667</v>
      </c>
      <c r="AC16" s="250">
        <v>6.0</v>
      </c>
      <c r="AD16" s="250">
        <v>6.0</v>
      </c>
      <c r="AE16" s="250">
        <v>6.0</v>
      </c>
      <c r="AF16" s="250">
        <v>6.0</v>
      </c>
      <c r="AG16" s="67">
        <v>5.0</v>
      </c>
      <c r="AH16" s="250">
        <v>5.0</v>
      </c>
      <c r="AI16" s="250">
        <v>5.0</v>
      </c>
      <c r="AJ16" s="476">
        <v>5.0</v>
      </c>
      <c r="AK16" s="476">
        <v>6.0</v>
      </c>
      <c r="AL16" s="70">
        <f t="shared" si="7"/>
        <v>5.333333333</v>
      </c>
      <c r="AM16" s="371">
        <f t="shared" si="8"/>
        <v>5.633333333</v>
      </c>
    </row>
    <row r="17" ht="15.75" customHeight="1">
      <c r="A17" s="74">
        <f t="shared" si="9"/>
        <v>10</v>
      </c>
      <c r="B17" s="304" t="s">
        <v>663</v>
      </c>
      <c r="C17" s="65" t="s">
        <v>45</v>
      </c>
      <c r="D17" s="62">
        <v>6.0</v>
      </c>
      <c r="E17" s="483">
        <v>6.0</v>
      </c>
      <c r="F17" s="305">
        <f t="shared" si="1"/>
        <v>6</v>
      </c>
      <c r="G17" s="488">
        <v>6.0</v>
      </c>
      <c r="H17" s="489">
        <v>6.0</v>
      </c>
      <c r="I17" s="85">
        <f t="shared" si="2"/>
        <v>6</v>
      </c>
      <c r="J17" s="488">
        <v>6.0</v>
      </c>
      <c r="K17" s="476">
        <v>4.0</v>
      </c>
      <c r="L17" s="476">
        <v>4.0</v>
      </c>
      <c r="M17" s="476">
        <v>4.0</v>
      </c>
      <c r="N17" s="365">
        <f t="shared" si="3"/>
        <v>4</v>
      </c>
      <c r="O17" s="63">
        <v>6.0</v>
      </c>
      <c r="P17" s="63">
        <v>6.0</v>
      </c>
      <c r="Q17" s="63">
        <v>6.0</v>
      </c>
      <c r="R17" s="63">
        <v>6.0</v>
      </c>
      <c r="S17" s="63">
        <v>6.0</v>
      </c>
      <c r="T17" s="490">
        <f t="shared" si="4"/>
        <v>6</v>
      </c>
      <c r="U17" s="62">
        <v>6.0</v>
      </c>
      <c r="V17" s="488">
        <v>5.0</v>
      </c>
      <c r="W17" s="488">
        <v>6.0</v>
      </c>
      <c r="X17" s="68">
        <f t="shared" si="5"/>
        <v>5.666666667</v>
      </c>
      <c r="Y17" s="63">
        <v>6.0</v>
      </c>
      <c r="Z17" s="63">
        <v>6.0</v>
      </c>
      <c r="AA17" s="63">
        <v>6.0</v>
      </c>
      <c r="AB17" s="212">
        <f t="shared" si="11"/>
        <v>5.916666667</v>
      </c>
      <c r="AC17" s="250">
        <v>6.0</v>
      </c>
      <c r="AD17" s="250">
        <v>6.0</v>
      </c>
      <c r="AE17" s="250">
        <v>6.0</v>
      </c>
      <c r="AF17" s="250">
        <v>6.0</v>
      </c>
      <c r="AG17" s="67">
        <f t="shared" ref="AG17:AG46" si="13">SUM(AD17:AF17)/3</f>
        <v>6</v>
      </c>
      <c r="AH17" s="250">
        <v>6.0</v>
      </c>
      <c r="AI17" s="250">
        <v>6.0</v>
      </c>
      <c r="AJ17" s="476">
        <v>6.0</v>
      </c>
      <c r="AK17" s="476">
        <v>6.0</v>
      </c>
      <c r="AL17" s="70">
        <f t="shared" si="7"/>
        <v>6</v>
      </c>
      <c r="AM17" s="371">
        <f t="shared" si="8"/>
        <v>5.8</v>
      </c>
    </row>
    <row r="18" ht="15.75" customHeight="1">
      <c r="A18" s="74">
        <f t="shared" si="9"/>
        <v>11</v>
      </c>
      <c r="B18" s="304" t="s">
        <v>664</v>
      </c>
      <c r="C18" s="65" t="s">
        <v>45</v>
      </c>
      <c r="D18" s="62">
        <v>6.0</v>
      </c>
      <c r="E18" s="483">
        <v>6.0</v>
      </c>
      <c r="F18" s="305">
        <f t="shared" si="1"/>
        <v>6</v>
      </c>
      <c r="G18" s="488">
        <v>6.0</v>
      </c>
      <c r="H18" s="489">
        <v>6.0</v>
      </c>
      <c r="I18" s="85">
        <f t="shared" si="2"/>
        <v>6</v>
      </c>
      <c r="J18" s="488">
        <v>6.0</v>
      </c>
      <c r="K18" s="476">
        <v>4.0</v>
      </c>
      <c r="L18" s="476">
        <v>4.0</v>
      </c>
      <c r="M18" s="476">
        <v>4.0</v>
      </c>
      <c r="N18" s="365">
        <f t="shared" si="3"/>
        <v>4</v>
      </c>
      <c r="O18" s="63">
        <v>6.0</v>
      </c>
      <c r="P18" s="63">
        <v>6.0</v>
      </c>
      <c r="Q18" s="63">
        <v>6.0</v>
      </c>
      <c r="R18" s="63">
        <v>6.0</v>
      </c>
      <c r="S18" s="63">
        <v>6.0</v>
      </c>
      <c r="T18" s="490">
        <f t="shared" si="4"/>
        <v>6</v>
      </c>
      <c r="U18" s="62">
        <v>6.0</v>
      </c>
      <c r="V18" s="488">
        <v>5.0</v>
      </c>
      <c r="W18" s="488">
        <v>6.0</v>
      </c>
      <c r="X18" s="68">
        <f t="shared" si="5"/>
        <v>5.666666667</v>
      </c>
      <c r="Y18" s="63">
        <v>6.0</v>
      </c>
      <c r="Z18" s="63">
        <v>6.0</v>
      </c>
      <c r="AA18" s="63">
        <v>6.0</v>
      </c>
      <c r="AB18" s="212">
        <f t="shared" si="11"/>
        <v>5.916666667</v>
      </c>
      <c r="AC18" s="250">
        <v>6.0</v>
      </c>
      <c r="AD18" s="250">
        <v>6.0</v>
      </c>
      <c r="AE18" s="250">
        <v>6.0</v>
      </c>
      <c r="AF18" s="250">
        <v>6.0</v>
      </c>
      <c r="AG18" s="67">
        <f t="shared" si="13"/>
        <v>6</v>
      </c>
      <c r="AH18" s="250">
        <v>6.0</v>
      </c>
      <c r="AI18" s="250">
        <v>6.0</v>
      </c>
      <c r="AJ18" s="476">
        <v>6.0</v>
      </c>
      <c r="AK18" s="476">
        <v>6.0</v>
      </c>
      <c r="AL18" s="70">
        <f t="shared" si="7"/>
        <v>6</v>
      </c>
      <c r="AM18" s="371">
        <f t="shared" si="8"/>
        <v>5.8</v>
      </c>
    </row>
    <row r="19" ht="15.75" customHeight="1">
      <c r="A19" s="74">
        <f t="shared" si="9"/>
        <v>12</v>
      </c>
      <c r="B19" s="304" t="s">
        <v>665</v>
      </c>
      <c r="C19" s="65" t="s">
        <v>45</v>
      </c>
      <c r="D19" s="62">
        <v>2.0</v>
      </c>
      <c r="E19" s="483">
        <v>2.0</v>
      </c>
      <c r="F19" s="305">
        <f t="shared" si="1"/>
        <v>2</v>
      </c>
      <c r="G19" s="488">
        <v>2.0</v>
      </c>
      <c r="H19" s="489">
        <v>2.0</v>
      </c>
      <c r="I19" s="85">
        <f t="shared" si="2"/>
        <v>2</v>
      </c>
      <c r="J19" s="488">
        <v>4.0</v>
      </c>
      <c r="K19" s="476">
        <v>2.0</v>
      </c>
      <c r="L19" s="476">
        <v>2.0</v>
      </c>
      <c r="M19" s="476">
        <v>2.0</v>
      </c>
      <c r="N19" s="365">
        <f t="shared" si="3"/>
        <v>2</v>
      </c>
      <c r="O19" s="63">
        <v>4.0</v>
      </c>
      <c r="P19" s="63">
        <v>5.0</v>
      </c>
      <c r="Q19" s="63">
        <v>5.0</v>
      </c>
      <c r="R19" s="63">
        <v>4.0</v>
      </c>
      <c r="S19" s="63">
        <v>4.0</v>
      </c>
      <c r="T19" s="490">
        <f t="shared" si="4"/>
        <v>4</v>
      </c>
      <c r="U19" s="62">
        <v>5.0</v>
      </c>
      <c r="V19" s="488">
        <v>4.0</v>
      </c>
      <c r="W19" s="488">
        <v>4.0</v>
      </c>
      <c r="X19" s="68">
        <f t="shared" si="5"/>
        <v>4.333333333</v>
      </c>
      <c r="Y19" s="63">
        <v>4.0</v>
      </c>
      <c r="Z19" s="63">
        <v>4.0</v>
      </c>
      <c r="AA19" s="63">
        <v>4.0</v>
      </c>
      <c r="AB19" s="212">
        <f t="shared" si="11"/>
        <v>4.083333333</v>
      </c>
      <c r="AC19" s="250">
        <v>5.0</v>
      </c>
      <c r="AD19" s="250">
        <v>4.0</v>
      </c>
      <c r="AE19" s="250">
        <v>4.0</v>
      </c>
      <c r="AF19" s="250">
        <v>4.0</v>
      </c>
      <c r="AG19" s="67">
        <f t="shared" si="13"/>
        <v>4</v>
      </c>
      <c r="AH19" s="250">
        <v>2.0</v>
      </c>
      <c r="AI19" s="250">
        <v>2.0</v>
      </c>
      <c r="AJ19" s="476">
        <v>2.0</v>
      </c>
      <c r="AK19" s="476">
        <v>2.0</v>
      </c>
      <c r="AL19" s="70">
        <f t="shared" si="7"/>
        <v>2</v>
      </c>
      <c r="AM19" s="371">
        <f t="shared" si="8"/>
        <v>3.8</v>
      </c>
    </row>
    <row r="20" ht="15.75" customHeight="1">
      <c r="A20" s="74">
        <f t="shared" si="9"/>
        <v>13</v>
      </c>
      <c r="B20" s="304" t="s">
        <v>666</v>
      </c>
      <c r="C20" s="65" t="s">
        <v>45</v>
      </c>
      <c r="D20" s="62">
        <v>6.0</v>
      </c>
      <c r="E20" s="483">
        <v>6.0</v>
      </c>
      <c r="F20" s="305">
        <f t="shared" si="1"/>
        <v>6</v>
      </c>
      <c r="G20" s="488">
        <v>4.0</v>
      </c>
      <c r="H20" s="489">
        <v>4.0</v>
      </c>
      <c r="I20" s="85">
        <f t="shared" si="2"/>
        <v>4</v>
      </c>
      <c r="J20" s="488">
        <v>5.0</v>
      </c>
      <c r="K20" s="476">
        <v>4.0</v>
      </c>
      <c r="L20" s="476">
        <v>4.0</v>
      </c>
      <c r="M20" s="476">
        <v>4.0</v>
      </c>
      <c r="N20" s="365">
        <f t="shared" si="3"/>
        <v>4</v>
      </c>
      <c r="O20" s="63">
        <v>4.0</v>
      </c>
      <c r="P20" s="63">
        <v>5.0</v>
      </c>
      <c r="Q20" s="63">
        <v>5.0</v>
      </c>
      <c r="R20" s="63">
        <v>4.0</v>
      </c>
      <c r="S20" s="63">
        <v>4.0</v>
      </c>
      <c r="T20" s="490">
        <f t="shared" si="4"/>
        <v>4</v>
      </c>
      <c r="U20" s="62">
        <v>6.0</v>
      </c>
      <c r="V20" s="488">
        <v>5.0</v>
      </c>
      <c r="W20" s="488">
        <v>4.0</v>
      </c>
      <c r="X20" s="68">
        <f t="shared" si="5"/>
        <v>5</v>
      </c>
      <c r="Y20" s="63">
        <v>4.0</v>
      </c>
      <c r="Z20" s="63">
        <v>4.0</v>
      </c>
      <c r="AA20" s="63">
        <v>4.0</v>
      </c>
      <c r="AB20" s="212">
        <f t="shared" si="11"/>
        <v>4.25</v>
      </c>
      <c r="AC20" s="250">
        <v>4.0</v>
      </c>
      <c r="AD20" s="250">
        <v>5.0</v>
      </c>
      <c r="AE20" s="250">
        <v>5.0</v>
      </c>
      <c r="AF20" s="250">
        <v>5.0</v>
      </c>
      <c r="AG20" s="67">
        <f t="shared" si="13"/>
        <v>5</v>
      </c>
      <c r="AH20" s="250">
        <v>5.0</v>
      </c>
      <c r="AI20" s="250">
        <v>5.0</v>
      </c>
      <c r="AJ20" s="476">
        <v>5.0</v>
      </c>
      <c r="AK20" s="476">
        <v>6.0</v>
      </c>
      <c r="AL20" s="70">
        <f t="shared" si="7"/>
        <v>5.333333333</v>
      </c>
      <c r="AM20" s="371">
        <f t="shared" si="8"/>
        <v>4.633333333</v>
      </c>
    </row>
    <row r="21" ht="15.75" customHeight="1">
      <c r="A21" s="74">
        <f t="shared" si="9"/>
        <v>14</v>
      </c>
      <c r="B21" s="304" t="s">
        <v>667</v>
      </c>
      <c r="C21" s="65" t="s">
        <v>45</v>
      </c>
      <c r="D21" s="62">
        <v>6.0</v>
      </c>
      <c r="E21" s="483">
        <v>6.0</v>
      </c>
      <c r="F21" s="305">
        <f t="shared" si="1"/>
        <v>6</v>
      </c>
      <c r="G21" s="488">
        <v>4.0</v>
      </c>
      <c r="H21" s="489">
        <v>4.0</v>
      </c>
      <c r="I21" s="85">
        <f t="shared" si="2"/>
        <v>4</v>
      </c>
      <c r="J21" s="488">
        <v>4.0</v>
      </c>
      <c r="K21" s="476">
        <v>4.0</v>
      </c>
      <c r="L21" s="476">
        <v>4.0</v>
      </c>
      <c r="M21" s="476">
        <v>4.0</v>
      </c>
      <c r="N21" s="365">
        <f t="shared" si="3"/>
        <v>4</v>
      </c>
      <c r="O21" s="63">
        <v>4.0</v>
      </c>
      <c r="P21" s="63">
        <v>5.0</v>
      </c>
      <c r="Q21" s="63">
        <v>5.0</v>
      </c>
      <c r="R21" s="63">
        <v>4.0</v>
      </c>
      <c r="S21" s="63">
        <v>4.0</v>
      </c>
      <c r="T21" s="490">
        <f t="shared" si="4"/>
        <v>4</v>
      </c>
      <c r="U21" s="62">
        <v>5.0</v>
      </c>
      <c r="V21" s="488">
        <v>4.0</v>
      </c>
      <c r="W21" s="488">
        <v>4.0</v>
      </c>
      <c r="X21" s="68">
        <f t="shared" si="5"/>
        <v>4.333333333</v>
      </c>
      <c r="Y21" s="63">
        <v>4.0</v>
      </c>
      <c r="Z21" s="63">
        <v>4.0</v>
      </c>
      <c r="AA21" s="63">
        <v>4.0</v>
      </c>
      <c r="AB21" s="212">
        <f t="shared" si="11"/>
        <v>4.083333333</v>
      </c>
      <c r="AC21" s="250">
        <v>5.0</v>
      </c>
      <c r="AD21" s="250">
        <v>5.0</v>
      </c>
      <c r="AE21" s="250">
        <v>5.0</v>
      </c>
      <c r="AF21" s="250">
        <v>5.0</v>
      </c>
      <c r="AG21" s="67">
        <f t="shared" si="13"/>
        <v>5</v>
      </c>
      <c r="AH21" s="250">
        <v>4.0</v>
      </c>
      <c r="AI21" s="250">
        <v>4.0</v>
      </c>
      <c r="AJ21" s="476">
        <v>4.0</v>
      </c>
      <c r="AK21" s="476">
        <v>5.0</v>
      </c>
      <c r="AL21" s="70">
        <f t="shared" si="7"/>
        <v>4.333333333</v>
      </c>
      <c r="AM21" s="371">
        <f t="shared" si="8"/>
        <v>4.433333333</v>
      </c>
    </row>
    <row r="22" ht="15.75" customHeight="1">
      <c r="A22" s="74">
        <f t="shared" si="9"/>
        <v>15</v>
      </c>
      <c r="B22" s="304" t="s">
        <v>668</v>
      </c>
      <c r="C22" s="65" t="s">
        <v>44</v>
      </c>
      <c r="D22" s="62">
        <v>6.0</v>
      </c>
      <c r="E22" s="483">
        <v>6.0</v>
      </c>
      <c r="F22" s="305">
        <f t="shared" si="1"/>
        <v>6</v>
      </c>
      <c r="G22" s="488">
        <v>4.0</v>
      </c>
      <c r="H22" s="489">
        <v>4.0</v>
      </c>
      <c r="I22" s="85">
        <f t="shared" si="2"/>
        <v>4</v>
      </c>
      <c r="J22" s="488">
        <v>4.0</v>
      </c>
      <c r="K22" s="476">
        <v>4.0</v>
      </c>
      <c r="L22" s="476">
        <v>4.0</v>
      </c>
      <c r="M22" s="476">
        <v>4.0</v>
      </c>
      <c r="N22" s="365">
        <f t="shared" si="3"/>
        <v>4</v>
      </c>
      <c r="O22" s="63">
        <v>4.0</v>
      </c>
      <c r="P22" s="63">
        <v>5.0</v>
      </c>
      <c r="Q22" s="63">
        <v>5.0</v>
      </c>
      <c r="R22" s="63">
        <v>4.0</v>
      </c>
      <c r="S22" s="63">
        <v>4.0</v>
      </c>
      <c r="T22" s="490">
        <f t="shared" si="4"/>
        <v>4</v>
      </c>
      <c r="U22" s="62">
        <v>6.0</v>
      </c>
      <c r="V22" s="488">
        <v>5.0</v>
      </c>
      <c r="W22" s="488">
        <v>5.0</v>
      </c>
      <c r="X22" s="68">
        <f t="shared" si="5"/>
        <v>5.333333333</v>
      </c>
      <c r="Y22" s="63">
        <v>5.0</v>
      </c>
      <c r="Z22" s="63">
        <v>5.0</v>
      </c>
      <c r="AA22" s="63">
        <v>5.0</v>
      </c>
      <c r="AB22" s="212">
        <f t="shared" si="11"/>
        <v>5.083333333</v>
      </c>
      <c r="AC22" s="250">
        <v>5.0</v>
      </c>
      <c r="AD22" s="250">
        <v>5.0</v>
      </c>
      <c r="AE22" s="250">
        <v>5.0</v>
      </c>
      <c r="AF22" s="250">
        <v>5.0</v>
      </c>
      <c r="AG22" s="67">
        <f t="shared" si="13"/>
        <v>5</v>
      </c>
      <c r="AH22" s="250">
        <v>4.0</v>
      </c>
      <c r="AI22" s="250">
        <v>4.0</v>
      </c>
      <c r="AJ22" s="476">
        <v>4.0</v>
      </c>
      <c r="AK22" s="476">
        <v>5.0</v>
      </c>
      <c r="AL22" s="70">
        <f t="shared" si="7"/>
        <v>4.333333333</v>
      </c>
      <c r="AM22" s="371">
        <f t="shared" si="8"/>
        <v>4.633333333</v>
      </c>
    </row>
    <row r="23" ht="15.75" customHeight="1">
      <c r="A23" s="74">
        <f t="shared" si="9"/>
        <v>16</v>
      </c>
      <c r="B23" s="304" t="s">
        <v>669</v>
      </c>
      <c r="C23" s="65" t="s">
        <v>44</v>
      </c>
      <c r="D23" s="62">
        <v>6.0</v>
      </c>
      <c r="E23" s="483">
        <v>6.0</v>
      </c>
      <c r="F23" s="305">
        <f t="shared" si="1"/>
        <v>6</v>
      </c>
      <c r="G23" s="488">
        <v>6.0</v>
      </c>
      <c r="H23" s="489">
        <v>6.0</v>
      </c>
      <c r="I23" s="85">
        <f t="shared" si="2"/>
        <v>6</v>
      </c>
      <c r="J23" s="488">
        <v>6.0</v>
      </c>
      <c r="K23" s="476">
        <v>4.0</v>
      </c>
      <c r="L23" s="476">
        <v>4.0</v>
      </c>
      <c r="M23" s="476">
        <v>4.0</v>
      </c>
      <c r="N23" s="365">
        <f t="shared" si="3"/>
        <v>4</v>
      </c>
      <c r="O23" s="63">
        <v>6.0</v>
      </c>
      <c r="P23" s="63">
        <v>6.0</v>
      </c>
      <c r="Q23" s="63">
        <v>6.0</v>
      </c>
      <c r="R23" s="63">
        <v>6.0</v>
      </c>
      <c r="S23" s="63">
        <v>6.0</v>
      </c>
      <c r="T23" s="490">
        <f t="shared" si="4"/>
        <v>6</v>
      </c>
      <c r="U23" s="62">
        <v>6.0</v>
      </c>
      <c r="V23" s="488">
        <v>5.0</v>
      </c>
      <c r="W23" s="488">
        <v>6.0</v>
      </c>
      <c r="X23" s="68">
        <f t="shared" si="5"/>
        <v>5.666666667</v>
      </c>
      <c r="Y23" s="63">
        <v>6.0</v>
      </c>
      <c r="Z23" s="63">
        <v>6.0</v>
      </c>
      <c r="AA23" s="63">
        <v>6.0</v>
      </c>
      <c r="AB23" s="212">
        <f t="shared" si="11"/>
        <v>5.916666667</v>
      </c>
      <c r="AC23" s="250">
        <v>6.0</v>
      </c>
      <c r="AD23" s="250">
        <v>6.0</v>
      </c>
      <c r="AE23" s="250">
        <v>6.0</v>
      </c>
      <c r="AF23" s="250">
        <v>6.0</v>
      </c>
      <c r="AG23" s="67">
        <f t="shared" si="13"/>
        <v>6</v>
      </c>
      <c r="AH23" s="250">
        <v>6.0</v>
      </c>
      <c r="AI23" s="250">
        <v>6.0</v>
      </c>
      <c r="AJ23" s="476">
        <v>6.0</v>
      </c>
      <c r="AK23" s="476">
        <v>6.0</v>
      </c>
      <c r="AL23" s="70">
        <f t="shared" si="7"/>
        <v>6</v>
      </c>
      <c r="AM23" s="371">
        <f t="shared" si="8"/>
        <v>5.8</v>
      </c>
    </row>
    <row r="24" ht="15.75" customHeight="1">
      <c r="A24" s="74">
        <f t="shared" si="9"/>
        <v>17</v>
      </c>
      <c r="B24" s="304" t="s">
        <v>670</v>
      </c>
      <c r="C24" s="65" t="s">
        <v>44</v>
      </c>
      <c r="D24" s="62">
        <v>6.0</v>
      </c>
      <c r="E24" s="483">
        <v>6.0</v>
      </c>
      <c r="F24" s="305">
        <f t="shared" si="1"/>
        <v>6</v>
      </c>
      <c r="G24" s="488">
        <v>4.0</v>
      </c>
      <c r="H24" s="489">
        <v>4.0</v>
      </c>
      <c r="I24" s="85">
        <f t="shared" si="2"/>
        <v>4</v>
      </c>
      <c r="J24" s="488">
        <v>5.0</v>
      </c>
      <c r="K24" s="476">
        <v>4.0</v>
      </c>
      <c r="L24" s="476">
        <v>4.0</v>
      </c>
      <c r="M24" s="476">
        <v>4.0</v>
      </c>
      <c r="N24" s="365">
        <f t="shared" si="3"/>
        <v>4</v>
      </c>
      <c r="O24" s="63">
        <v>6.0</v>
      </c>
      <c r="P24" s="63">
        <v>6.0</v>
      </c>
      <c r="Q24" s="63">
        <v>6.0</v>
      </c>
      <c r="R24" s="63">
        <v>6.0</v>
      </c>
      <c r="S24" s="63">
        <v>6.0</v>
      </c>
      <c r="T24" s="490">
        <f t="shared" si="4"/>
        <v>6</v>
      </c>
      <c r="U24" s="62">
        <v>5.0</v>
      </c>
      <c r="V24" s="488">
        <v>5.0</v>
      </c>
      <c r="W24" s="488">
        <v>4.0</v>
      </c>
      <c r="X24" s="68">
        <f t="shared" si="5"/>
        <v>4.666666667</v>
      </c>
      <c r="Y24" s="63">
        <v>5.0</v>
      </c>
      <c r="Z24" s="63">
        <v>5.0</v>
      </c>
      <c r="AA24" s="63">
        <v>5.0</v>
      </c>
      <c r="AB24" s="212">
        <f t="shared" si="11"/>
        <v>4.916666667</v>
      </c>
      <c r="AC24" s="250">
        <v>5.0</v>
      </c>
      <c r="AD24" s="250">
        <v>5.0</v>
      </c>
      <c r="AE24" s="250">
        <v>5.0</v>
      </c>
      <c r="AF24" s="250">
        <v>5.0</v>
      </c>
      <c r="AG24" s="67">
        <f t="shared" si="13"/>
        <v>5</v>
      </c>
      <c r="AH24" s="250">
        <v>5.0</v>
      </c>
      <c r="AI24" s="250">
        <v>5.0</v>
      </c>
      <c r="AJ24" s="476">
        <v>5.0</v>
      </c>
      <c r="AK24" s="476">
        <v>6.0</v>
      </c>
      <c r="AL24" s="70">
        <f t="shared" si="7"/>
        <v>5.333333333</v>
      </c>
      <c r="AM24" s="371">
        <f t="shared" si="8"/>
        <v>5.333333333</v>
      </c>
    </row>
    <row r="25" ht="15.75" customHeight="1">
      <c r="A25" s="74">
        <f t="shared" si="9"/>
        <v>18</v>
      </c>
      <c r="B25" s="304" t="s">
        <v>671</v>
      </c>
      <c r="C25" s="65" t="s">
        <v>44</v>
      </c>
      <c r="D25" s="62">
        <v>6.0</v>
      </c>
      <c r="E25" s="483">
        <v>6.0</v>
      </c>
      <c r="F25" s="305">
        <f t="shared" si="1"/>
        <v>6</v>
      </c>
      <c r="G25" s="488">
        <v>6.0</v>
      </c>
      <c r="H25" s="489">
        <v>6.0</v>
      </c>
      <c r="I25" s="85">
        <f t="shared" si="2"/>
        <v>6</v>
      </c>
      <c r="J25" s="488">
        <v>5.0</v>
      </c>
      <c r="K25" s="476">
        <v>4.0</v>
      </c>
      <c r="L25" s="476">
        <v>4.0</v>
      </c>
      <c r="M25" s="476">
        <v>4.0</v>
      </c>
      <c r="N25" s="365">
        <f t="shared" si="3"/>
        <v>4</v>
      </c>
      <c r="O25" s="63">
        <v>6.0</v>
      </c>
      <c r="P25" s="63">
        <v>6.0</v>
      </c>
      <c r="Q25" s="63">
        <v>6.0</v>
      </c>
      <c r="R25" s="63">
        <v>6.0</v>
      </c>
      <c r="S25" s="63">
        <v>6.0</v>
      </c>
      <c r="T25" s="366">
        <f t="shared" si="4"/>
        <v>6</v>
      </c>
      <c r="U25" s="119">
        <v>6.0</v>
      </c>
      <c r="V25" s="488">
        <v>6.0</v>
      </c>
      <c r="W25" s="488">
        <v>6.0</v>
      </c>
      <c r="X25" s="68">
        <v>4.0</v>
      </c>
      <c r="Y25" s="63">
        <v>6.0</v>
      </c>
      <c r="Z25" s="63">
        <v>6.0</v>
      </c>
      <c r="AA25" s="63">
        <v>6.0</v>
      </c>
      <c r="AB25" s="212">
        <f t="shared" si="11"/>
        <v>5.5</v>
      </c>
      <c r="AC25" s="250">
        <v>6.0</v>
      </c>
      <c r="AD25" s="250">
        <v>6.0</v>
      </c>
      <c r="AE25" s="250">
        <v>6.0</v>
      </c>
      <c r="AF25" s="250">
        <v>6.0</v>
      </c>
      <c r="AG25" s="67">
        <f t="shared" si="13"/>
        <v>6</v>
      </c>
      <c r="AH25" s="250">
        <v>6.0</v>
      </c>
      <c r="AI25" s="250">
        <v>6.0</v>
      </c>
      <c r="AJ25" s="476">
        <v>5.0</v>
      </c>
      <c r="AK25" s="476">
        <v>6.0</v>
      </c>
      <c r="AL25" s="70">
        <f t="shared" si="7"/>
        <v>5.666666667</v>
      </c>
      <c r="AM25" s="371">
        <f t="shared" si="8"/>
        <v>5.766666667</v>
      </c>
    </row>
    <row r="26" ht="15.75" customHeight="1">
      <c r="A26" s="74">
        <f t="shared" si="9"/>
        <v>19</v>
      </c>
      <c r="B26" s="304" t="s">
        <v>672</v>
      </c>
      <c r="C26" s="65" t="s">
        <v>44</v>
      </c>
      <c r="D26" s="62"/>
      <c r="E26" s="483"/>
      <c r="F26" s="305">
        <f t="shared" si="1"/>
        <v>0</v>
      </c>
      <c r="G26" s="488"/>
      <c r="H26" s="489"/>
      <c r="I26" s="85">
        <f t="shared" si="2"/>
        <v>0</v>
      </c>
      <c r="J26" s="488"/>
      <c r="K26" s="476"/>
      <c r="L26" s="476"/>
      <c r="M26" s="476"/>
      <c r="N26" s="365">
        <f t="shared" si="3"/>
        <v>0</v>
      </c>
      <c r="O26" s="63"/>
      <c r="P26" s="63"/>
      <c r="Q26" s="63"/>
      <c r="R26" s="63"/>
      <c r="S26" s="63"/>
      <c r="T26" s="366">
        <f t="shared" si="4"/>
        <v>0</v>
      </c>
      <c r="U26" s="62"/>
      <c r="V26" s="62"/>
      <c r="W26" s="62"/>
      <c r="X26" s="68">
        <f t="shared" ref="X26:X46" si="14">SUM(U26:W26)/3</f>
        <v>0</v>
      </c>
      <c r="Y26" s="63"/>
      <c r="Z26" s="62"/>
      <c r="AA26" s="63"/>
      <c r="AB26" s="212">
        <f t="shared" si="11"/>
        <v>0</v>
      </c>
      <c r="AC26" s="250"/>
      <c r="AD26" s="477"/>
      <c r="AE26" s="477"/>
      <c r="AF26" s="477"/>
      <c r="AG26" s="67">
        <f t="shared" si="13"/>
        <v>0</v>
      </c>
      <c r="AH26" s="250"/>
      <c r="AI26" s="250"/>
      <c r="AJ26" s="476"/>
      <c r="AK26" s="476"/>
      <c r="AL26" s="70">
        <f t="shared" si="7"/>
        <v>0</v>
      </c>
      <c r="AM26" s="371">
        <f t="shared" si="8"/>
        <v>0</v>
      </c>
    </row>
    <row r="27" ht="15.75" customHeight="1">
      <c r="A27" s="74">
        <f t="shared" si="9"/>
        <v>20</v>
      </c>
      <c r="B27" s="304" t="s">
        <v>673</v>
      </c>
      <c r="C27" s="65" t="s">
        <v>44</v>
      </c>
      <c r="D27" s="62">
        <v>5.0</v>
      </c>
      <c r="E27" s="483">
        <v>5.0</v>
      </c>
      <c r="F27" s="305">
        <f t="shared" si="1"/>
        <v>5</v>
      </c>
      <c r="G27" s="488">
        <v>3.0</v>
      </c>
      <c r="H27" s="489">
        <v>3.0</v>
      </c>
      <c r="I27" s="85">
        <f t="shared" si="2"/>
        <v>3</v>
      </c>
      <c r="J27" s="488">
        <v>3.0</v>
      </c>
      <c r="K27" s="476">
        <v>3.0</v>
      </c>
      <c r="L27" s="476">
        <v>3.0</v>
      </c>
      <c r="M27" s="476">
        <v>3.0</v>
      </c>
      <c r="N27" s="365">
        <f t="shared" si="3"/>
        <v>3</v>
      </c>
      <c r="O27" s="63">
        <v>3.0</v>
      </c>
      <c r="P27" s="63">
        <v>5.0</v>
      </c>
      <c r="Q27" s="63">
        <v>5.0</v>
      </c>
      <c r="R27" s="63">
        <v>3.0</v>
      </c>
      <c r="S27" s="63">
        <v>3.0</v>
      </c>
      <c r="T27" s="366">
        <f t="shared" si="4"/>
        <v>3</v>
      </c>
      <c r="U27" s="62">
        <v>5.0</v>
      </c>
      <c r="V27" s="62">
        <v>4.0</v>
      </c>
      <c r="W27" s="62">
        <v>4.0</v>
      </c>
      <c r="X27" s="68">
        <f t="shared" si="14"/>
        <v>4.333333333</v>
      </c>
      <c r="Y27" s="63">
        <v>3.0</v>
      </c>
      <c r="Z27" s="63">
        <v>3.0</v>
      </c>
      <c r="AA27" s="63">
        <v>3.0</v>
      </c>
      <c r="AB27" s="212">
        <f t="shared" si="11"/>
        <v>3.333333333</v>
      </c>
      <c r="AC27" s="250">
        <v>3.0</v>
      </c>
      <c r="AD27" s="477">
        <v>3.0</v>
      </c>
      <c r="AE27" s="477">
        <v>3.0</v>
      </c>
      <c r="AF27" s="477">
        <v>3.0</v>
      </c>
      <c r="AG27" s="67">
        <f t="shared" si="13"/>
        <v>3</v>
      </c>
      <c r="AH27" s="250">
        <v>3.0</v>
      </c>
      <c r="AI27" s="250">
        <v>3.0</v>
      </c>
      <c r="AJ27" s="476">
        <v>3.0</v>
      </c>
      <c r="AK27" s="476">
        <v>3.0</v>
      </c>
      <c r="AL27" s="70">
        <f t="shared" si="7"/>
        <v>3</v>
      </c>
      <c r="AM27" s="371">
        <f t="shared" si="8"/>
        <v>3.6</v>
      </c>
    </row>
    <row r="28" ht="15.75" customHeight="1">
      <c r="A28" s="74">
        <f t="shared" si="9"/>
        <v>21</v>
      </c>
      <c r="B28" s="304" t="s">
        <v>674</v>
      </c>
      <c r="C28" s="65" t="s">
        <v>44</v>
      </c>
      <c r="D28" s="62">
        <v>6.0</v>
      </c>
      <c r="E28" s="483">
        <v>6.0</v>
      </c>
      <c r="F28" s="305">
        <f t="shared" si="1"/>
        <v>6</v>
      </c>
      <c r="G28" s="491">
        <v>5.0</v>
      </c>
      <c r="H28" s="492">
        <v>5.0</v>
      </c>
      <c r="I28" s="85">
        <f t="shared" si="2"/>
        <v>5</v>
      </c>
      <c r="J28" s="488">
        <v>5.0</v>
      </c>
      <c r="K28" s="476">
        <v>4.0</v>
      </c>
      <c r="L28" s="476">
        <v>4.0</v>
      </c>
      <c r="M28" s="476">
        <v>4.0</v>
      </c>
      <c r="N28" s="365">
        <f t="shared" si="3"/>
        <v>4</v>
      </c>
      <c r="O28" s="63">
        <v>6.0</v>
      </c>
      <c r="P28" s="63">
        <v>6.0</v>
      </c>
      <c r="Q28" s="63">
        <v>6.0</v>
      </c>
      <c r="R28" s="63">
        <v>6.0</v>
      </c>
      <c r="S28" s="63">
        <v>6.0</v>
      </c>
      <c r="T28" s="366">
        <f t="shared" si="4"/>
        <v>6</v>
      </c>
      <c r="U28" s="62">
        <v>6.0</v>
      </c>
      <c r="V28" s="62">
        <v>5.0</v>
      </c>
      <c r="W28" s="62">
        <v>6.0</v>
      </c>
      <c r="X28" s="68">
        <f t="shared" si="14"/>
        <v>5.666666667</v>
      </c>
      <c r="Y28" s="63">
        <v>6.0</v>
      </c>
      <c r="Z28" s="63">
        <v>6.0</v>
      </c>
      <c r="AA28" s="63">
        <v>6.0</v>
      </c>
      <c r="AB28" s="212">
        <f t="shared" si="11"/>
        <v>5.916666667</v>
      </c>
      <c r="AC28" s="250">
        <v>6.0</v>
      </c>
      <c r="AD28" s="250">
        <v>6.0</v>
      </c>
      <c r="AE28" s="250">
        <v>6.0</v>
      </c>
      <c r="AF28" s="250">
        <v>6.0</v>
      </c>
      <c r="AG28" s="67">
        <f t="shared" si="13"/>
        <v>6</v>
      </c>
      <c r="AH28" s="250">
        <v>6.0</v>
      </c>
      <c r="AI28" s="250">
        <v>6.0</v>
      </c>
      <c r="AJ28" s="476">
        <v>5.0</v>
      </c>
      <c r="AK28" s="476">
        <v>6.0</v>
      </c>
      <c r="AL28" s="70">
        <f t="shared" si="7"/>
        <v>5.666666667</v>
      </c>
      <c r="AM28" s="371">
        <f t="shared" si="8"/>
        <v>5.766666667</v>
      </c>
    </row>
    <row r="29" ht="15.75" customHeight="1">
      <c r="A29" s="74">
        <f t="shared" si="9"/>
        <v>22</v>
      </c>
      <c r="B29" s="304" t="s">
        <v>675</v>
      </c>
      <c r="C29" s="65" t="s">
        <v>44</v>
      </c>
      <c r="D29" s="62">
        <v>6.0</v>
      </c>
      <c r="E29" s="483">
        <v>6.0</v>
      </c>
      <c r="F29" s="305">
        <f t="shared" si="1"/>
        <v>6</v>
      </c>
      <c r="G29" s="488">
        <v>4.0</v>
      </c>
      <c r="H29" s="489">
        <v>4.0</v>
      </c>
      <c r="I29" s="85">
        <f t="shared" si="2"/>
        <v>4</v>
      </c>
      <c r="J29" s="488">
        <v>4.0</v>
      </c>
      <c r="K29" s="476">
        <v>4.0</v>
      </c>
      <c r="L29" s="476">
        <v>4.0</v>
      </c>
      <c r="M29" s="476">
        <v>4.0</v>
      </c>
      <c r="N29" s="365">
        <f t="shared" si="3"/>
        <v>4</v>
      </c>
      <c r="O29" s="63">
        <v>5.0</v>
      </c>
      <c r="P29" s="63">
        <v>5.0</v>
      </c>
      <c r="Q29" s="63">
        <v>5.0</v>
      </c>
      <c r="R29" s="63">
        <v>5.0</v>
      </c>
      <c r="S29" s="63">
        <v>5.0</v>
      </c>
      <c r="T29" s="366">
        <f t="shared" si="4"/>
        <v>5</v>
      </c>
      <c r="U29" s="62">
        <v>6.0</v>
      </c>
      <c r="V29" s="62">
        <v>5.0</v>
      </c>
      <c r="W29" s="62">
        <v>5.0</v>
      </c>
      <c r="X29" s="68">
        <f t="shared" si="14"/>
        <v>5.333333333</v>
      </c>
      <c r="Y29" s="63">
        <v>5.0</v>
      </c>
      <c r="Z29" s="63">
        <v>5.0</v>
      </c>
      <c r="AA29" s="63">
        <v>5.0</v>
      </c>
      <c r="AB29" s="212">
        <v>4.0</v>
      </c>
      <c r="AC29" s="250">
        <v>5.0</v>
      </c>
      <c r="AD29" s="250">
        <v>5.0</v>
      </c>
      <c r="AE29" s="250">
        <v>5.0</v>
      </c>
      <c r="AF29" s="250">
        <v>5.0</v>
      </c>
      <c r="AG29" s="67">
        <f t="shared" si="13"/>
        <v>5</v>
      </c>
      <c r="AH29" s="250">
        <v>5.0</v>
      </c>
      <c r="AI29" s="250">
        <v>5.0</v>
      </c>
      <c r="AJ29" s="476">
        <v>5.0</v>
      </c>
      <c r="AK29" s="476">
        <v>5.0</v>
      </c>
      <c r="AL29" s="70">
        <f t="shared" si="7"/>
        <v>5</v>
      </c>
      <c r="AM29" s="371">
        <f t="shared" si="8"/>
        <v>5</v>
      </c>
    </row>
    <row r="30" ht="18.0" customHeight="1">
      <c r="A30" s="74">
        <f t="shared" si="9"/>
        <v>23</v>
      </c>
      <c r="B30" s="493" t="s">
        <v>676</v>
      </c>
      <c r="C30" s="65" t="s">
        <v>44</v>
      </c>
      <c r="D30" s="62">
        <v>6.0</v>
      </c>
      <c r="E30" s="483">
        <v>6.0</v>
      </c>
      <c r="F30" s="305">
        <f t="shared" si="1"/>
        <v>6</v>
      </c>
      <c r="G30" s="488">
        <v>6.0</v>
      </c>
      <c r="H30" s="489">
        <v>6.0</v>
      </c>
      <c r="I30" s="85">
        <f t="shared" si="2"/>
        <v>6</v>
      </c>
      <c r="J30" s="488">
        <v>5.0</v>
      </c>
      <c r="K30" s="476">
        <v>4.0</v>
      </c>
      <c r="L30" s="476">
        <v>4.0</v>
      </c>
      <c r="M30" s="476">
        <v>4.0</v>
      </c>
      <c r="N30" s="365">
        <f t="shared" si="3"/>
        <v>4</v>
      </c>
      <c r="O30" s="63">
        <v>6.0</v>
      </c>
      <c r="P30" s="63">
        <v>6.0</v>
      </c>
      <c r="Q30" s="63">
        <v>6.0</v>
      </c>
      <c r="R30" s="63">
        <v>6.0</v>
      </c>
      <c r="S30" s="63">
        <v>6.0</v>
      </c>
      <c r="T30" s="366">
        <f t="shared" si="4"/>
        <v>6</v>
      </c>
      <c r="U30" s="62">
        <v>6.0</v>
      </c>
      <c r="V30" s="62">
        <v>5.0</v>
      </c>
      <c r="W30" s="62">
        <v>6.0</v>
      </c>
      <c r="X30" s="68">
        <f t="shared" si="14"/>
        <v>5.666666667</v>
      </c>
      <c r="Y30" s="63">
        <v>6.0</v>
      </c>
      <c r="Z30" s="63">
        <v>6.0</v>
      </c>
      <c r="AA30" s="63">
        <v>6.0</v>
      </c>
      <c r="AB30" s="212">
        <f t="shared" ref="AB30:AB46" si="15">SUM(X30:AA30)/4</f>
        <v>5.916666667</v>
      </c>
      <c r="AC30" s="250">
        <v>6.0</v>
      </c>
      <c r="AD30" s="250">
        <v>6.0</v>
      </c>
      <c r="AE30" s="250">
        <v>6.0</v>
      </c>
      <c r="AF30" s="250">
        <v>6.0</v>
      </c>
      <c r="AG30" s="67">
        <f t="shared" si="13"/>
        <v>6</v>
      </c>
      <c r="AH30" s="250">
        <v>6.0</v>
      </c>
      <c r="AI30" s="250">
        <v>6.0</v>
      </c>
      <c r="AJ30" s="476">
        <v>5.0</v>
      </c>
      <c r="AK30" s="476">
        <v>6.0</v>
      </c>
      <c r="AL30" s="70">
        <f t="shared" si="7"/>
        <v>5.666666667</v>
      </c>
      <c r="AM30" s="371">
        <f t="shared" si="8"/>
        <v>5.766666667</v>
      </c>
    </row>
    <row r="31" ht="15.75" customHeight="1">
      <c r="A31" s="74">
        <f t="shared" si="9"/>
        <v>24</v>
      </c>
      <c r="B31" s="304" t="s">
        <v>677</v>
      </c>
      <c r="C31" s="65" t="s">
        <v>44</v>
      </c>
      <c r="D31" s="62">
        <v>6.0</v>
      </c>
      <c r="E31" s="483">
        <v>6.0</v>
      </c>
      <c r="F31" s="305">
        <f t="shared" si="1"/>
        <v>6</v>
      </c>
      <c r="G31" s="488">
        <v>6.0</v>
      </c>
      <c r="H31" s="489">
        <v>6.0</v>
      </c>
      <c r="I31" s="85">
        <f t="shared" si="2"/>
        <v>6</v>
      </c>
      <c r="J31" s="488">
        <v>5.0</v>
      </c>
      <c r="K31" s="476">
        <v>4.0</v>
      </c>
      <c r="L31" s="476">
        <v>4.0</v>
      </c>
      <c r="M31" s="476">
        <v>4.0</v>
      </c>
      <c r="N31" s="365">
        <f t="shared" si="3"/>
        <v>4</v>
      </c>
      <c r="O31" s="63">
        <v>6.0</v>
      </c>
      <c r="P31" s="63">
        <v>6.0</v>
      </c>
      <c r="Q31" s="63">
        <v>6.0</v>
      </c>
      <c r="R31" s="63">
        <v>6.0</v>
      </c>
      <c r="S31" s="63">
        <v>6.0</v>
      </c>
      <c r="T31" s="366">
        <f t="shared" si="4"/>
        <v>6</v>
      </c>
      <c r="U31" s="62">
        <v>6.0</v>
      </c>
      <c r="V31" s="62">
        <v>5.0</v>
      </c>
      <c r="W31" s="62">
        <v>6.0</v>
      </c>
      <c r="X31" s="68">
        <f t="shared" si="14"/>
        <v>5.666666667</v>
      </c>
      <c r="Y31" s="63">
        <v>6.0</v>
      </c>
      <c r="Z31" s="63">
        <v>6.0</v>
      </c>
      <c r="AA31" s="63">
        <v>6.0</v>
      </c>
      <c r="AB31" s="212">
        <f t="shared" si="15"/>
        <v>5.916666667</v>
      </c>
      <c r="AC31" s="250">
        <v>6.0</v>
      </c>
      <c r="AD31" s="250">
        <v>6.0</v>
      </c>
      <c r="AE31" s="250">
        <v>6.0</v>
      </c>
      <c r="AF31" s="250">
        <v>6.0</v>
      </c>
      <c r="AG31" s="67">
        <f t="shared" si="13"/>
        <v>6</v>
      </c>
      <c r="AH31" s="250">
        <v>6.0</v>
      </c>
      <c r="AI31" s="250">
        <v>6.0</v>
      </c>
      <c r="AJ31" s="476">
        <v>5.0</v>
      </c>
      <c r="AK31" s="476">
        <v>6.0</v>
      </c>
      <c r="AL31" s="70">
        <f t="shared" si="7"/>
        <v>5.666666667</v>
      </c>
      <c r="AM31" s="371">
        <f t="shared" si="8"/>
        <v>5.766666667</v>
      </c>
    </row>
    <row r="32" ht="15.75" customHeight="1">
      <c r="A32" s="74">
        <f t="shared" si="9"/>
        <v>25</v>
      </c>
      <c r="B32" s="304" t="s">
        <v>678</v>
      </c>
      <c r="C32" s="65" t="s">
        <v>44</v>
      </c>
      <c r="D32" s="62">
        <v>6.0</v>
      </c>
      <c r="E32" s="483">
        <v>6.0</v>
      </c>
      <c r="F32" s="305">
        <f t="shared" si="1"/>
        <v>6</v>
      </c>
      <c r="G32" s="488">
        <v>5.0</v>
      </c>
      <c r="H32" s="489">
        <v>5.0</v>
      </c>
      <c r="I32" s="85">
        <f t="shared" si="2"/>
        <v>5</v>
      </c>
      <c r="J32" s="488">
        <v>5.0</v>
      </c>
      <c r="K32" s="476">
        <v>4.0</v>
      </c>
      <c r="L32" s="476">
        <v>4.0</v>
      </c>
      <c r="M32" s="476">
        <v>4.0</v>
      </c>
      <c r="N32" s="365">
        <f t="shared" si="3"/>
        <v>4</v>
      </c>
      <c r="O32" s="63">
        <v>5.0</v>
      </c>
      <c r="P32" s="63">
        <v>5.0</v>
      </c>
      <c r="Q32" s="63">
        <v>5.0</v>
      </c>
      <c r="R32" s="63">
        <v>5.0</v>
      </c>
      <c r="S32" s="63">
        <v>5.0</v>
      </c>
      <c r="T32" s="366">
        <f t="shared" si="4"/>
        <v>5</v>
      </c>
      <c r="U32" s="62">
        <v>6.0</v>
      </c>
      <c r="V32" s="62">
        <v>5.0</v>
      </c>
      <c r="W32" s="62">
        <v>4.0</v>
      </c>
      <c r="X32" s="68">
        <f t="shared" si="14"/>
        <v>5</v>
      </c>
      <c r="Y32" s="63">
        <v>5.0</v>
      </c>
      <c r="Z32" s="63">
        <v>5.0</v>
      </c>
      <c r="AA32" s="63">
        <v>5.0</v>
      </c>
      <c r="AB32" s="212">
        <f t="shared" si="15"/>
        <v>5</v>
      </c>
      <c r="AC32" s="250">
        <v>5.0</v>
      </c>
      <c r="AD32" s="250">
        <v>5.0</v>
      </c>
      <c r="AE32" s="250">
        <v>5.0</v>
      </c>
      <c r="AF32" s="250">
        <v>5.0</v>
      </c>
      <c r="AG32" s="67">
        <f t="shared" si="13"/>
        <v>5</v>
      </c>
      <c r="AH32" s="250">
        <v>5.0</v>
      </c>
      <c r="AI32" s="250">
        <v>5.0</v>
      </c>
      <c r="AJ32" s="476">
        <v>5.0</v>
      </c>
      <c r="AK32" s="476">
        <v>6.0</v>
      </c>
      <c r="AL32" s="70">
        <f t="shared" si="7"/>
        <v>5.333333333</v>
      </c>
      <c r="AM32" s="371">
        <f t="shared" si="8"/>
        <v>5.033333333</v>
      </c>
    </row>
    <row r="33" ht="15.75" customHeight="1">
      <c r="A33" s="74">
        <f t="shared" si="9"/>
        <v>26</v>
      </c>
      <c r="B33" s="304" t="s">
        <v>679</v>
      </c>
      <c r="C33" s="65" t="s">
        <v>44</v>
      </c>
      <c r="D33" s="62">
        <v>6.0</v>
      </c>
      <c r="E33" s="483">
        <v>6.0</v>
      </c>
      <c r="F33" s="305">
        <f t="shared" si="1"/>
        <v>6</v>
      </c>
      <c r="G33" s="488">
        <v>5.0</v>
      </c>
      <c r="H33" s="489">
        <v>5.0</v>
      </c>
      <c r="I33" s="85">
        <f t="shared" si="2"/>
        <v>5</v>
      </c>
      <c r="J33" s="488">
        <v>5.0</v>
      </c>
      <c r="K33" s="476">
        <v>4.0</v>
      </c>
      <c r="L33" s="476">
        <v>4.0</v>
      </c>
      <c r="M33" s="476">
        <v>4.0</v>
      </c>
      <c r="N33" s="365">
        <f t="shared" si="3"/>
        <v>4</v>
      </c>
      <c r="O33" s="63">
        <v>5.0</v>
      </c>
      <c r="P33" s="63">
        <v>5.0</v>
      </c>
      <c r="Q33" s="63">
        <v>5.0</v>
      </c>
      <c r="R33" s="63">
        <v>5.0</v>
      </c>
      <c r="S33" s="63">
        <v>5.0</v>
      </c>
      <c r="T33" s="366">
        <f t="shared" si="4"/>
        <v>5</v>
      </c>
      <c r="U33" s="62">
        <v>6.0</v>
      </c>
      <c r="V33" s="62">
        <v>5.0</v>
      </c>
      <c r="W33" s="62">
        <v>4.0</v>
      </c>
      <c r="X33" s="68">
        <f t="shared" si="14"/>
        <v>5</v>
      </c>
      <c r="Y33" s="63">
        <v>5.0</v>
      </c>
      <c r="Z33" s="63">
        <v>5.0</v>
      </c>
      <c r="AA33" s="63">
        <v>5.0</v>
      </c>
      <c r="AB33" s="212">
        <f t="shared" si="15"/>
        <v>5</v>
      </c>
      <c r="AC33" s="250">
        <v>5.0</v>
      </c>
      <c r="AD33" s="250">
        <v>5.0</v>
      </c>
      <c r="AE33" s="250">
        <v>5.0</v>
      </c>
      <c r="AF33" s="250">
        <v>5.0</v>
      </c>
      <c r="AG33" s="67">
        <f t="shared" si="13"/>
        <v>5</v>
      </c>
      <c r="AH33" s="250">
        <v>5.0</v>
      </c>
      <c r="AI33" s="250">
        <v>5.0</v>
      </c>
      <c r="AJ33" s="476">
        <v>5.0</v>
      </c>
      <c r="AK33" s="476">
        <v>6.0</v>
      </c>
      <c r="AL33" s="70">
        <f t="shared" si="7"/>
        <v>5.333333333</v>
      </c>
      <c r="AM33" s="371">
        <f t="shared" si="8"/>
        <v>5.033333333</v>
      </c>
    </row>
    <row r="34" ht="15.75" customHeight="1">
      <c r="A34" s="74">
        <f t="shared" si="9"/>
        <v>27</v>
      </c>
      <c r="B34" s="304" t="s">
        <v>680</v>
      </c>
      <c r="C34" s="65" t="s">
        <v>45</v>
      </c>
      <c r="D34" s="62">
        <v>6.0</v>
      </c>
      <c r="E34" s="483">
        <v>6.0</v>
      </c>
      <c r="F34" s="305">
        <f t="shared" si="1"/>
        <v>6</v>
      </c>
      <c r="G34" s="488">
        <v>5.0</v>
      </c>
      <c r="H34" s="489">
        <v>5.0</v>
      </c>
      <c r="I34" s="85">
        <f t="shared" si="2"/>
        <v>5</v>
      </c>
      <c r="J34" s="488">
        <v>6.0</v>
      </c>
      <c r="K34" s="476">
        <v>4.0</v>
      </c>
      <c r="L34" s="476">
        <v>4.0</v>
      </c>
      <c r="M34" s="476">
        <v>4.0</v>
      </c>
      <c r="N34" s="365">
        <f t="shared" si="3"/>
        <v>4</v>
      </c>
      <c r="O34" s="63">
        <v>6.0</v>
      </c>
      <c r="P34" s="63">
        <v>6.0</v>
      </c>
      <c r="Q34" s="63">
        <v>6.0</v>
      </c>
      <c r="R34" s="63">
        <v>6.0</v>
      </c>
      <c r="S34" s="63">
        <v>6.0</v>
      </c>
      <c r="T34" s="366">
        <f t="shared" si="4"/>
        <v>6</v>
      </c>
      <c r="U34" s="62">
        <v>6.0</v>
      </c>
      <c r="V34" s="62">
        <v>5.0</v>
      </c>
      <c r="W34" s="62">
        <v>5.0</v>
      </c>
      <c r="X34" s="68">
        <f t="shared" si="14"/>
        <v>5.333333333</v>
      </c>
      <c r="Y34" s="63">
        <v>6.0</v>
      </c>
      <c r="Z34" s="63">
        <v>6.0</v>
      </c>
      <c r="AA34" s="63">
        <v>6.0</v>
      </c>
      <c r="AB34" s="212">
        <f t="shared" si="15"/>
        <v>5.833333333</v>
      </c>
      <c r="AC34" s="250">
        <v>6.0</v>
      </c>
      <c r="AD34" s="250">
        <v>6.0</v>
      </c>
      <c r="AE34" s="250">
        <v>6.0</v>
      </c>
      <c r="AF34" s="250">
        <v>6.0</v>
      </c>
      <c r="AG34" s="67">
        <f t="shared" si="13"/>
        <v>6</v>
      </c>
      <c r="AH34" s="250">
        <v>5.0</v>
      </c>
      <c r="AI34" s="250">
        <v>5.0</v>
      </c>
      <c r="AJ34" s="476">
        <v>5.0</v>
      </c>
      <c r="AK34" s="476">
        <v>6.0</v>
      </c>
      <c r="AL34" s="70">
        <f t="shared" si="7"/>
        <v>5.333333333</v>
      </c>
      <c r="AM34" s="371">
        <f t="shared" si="8"/>
        <v>5.633333333</v>
      </c>
    </row>
    <row r="35" ht="15.75" customHeight="1">
      <c r="A35" s="74">
        <f t="shared" si="9"/>
        <v>28</v>
      </c>
      <c r="B35" s="304" t="s">
        <v>681</v>
      </c>
      <c r="C35" s="65" t="s">
        <v>44</v>
      </c>
      <c r="D35" s="62">
        <v>5.0</v>
      </c>
      <c r="E35" s="483">
        <v>5.0</v>
      </c>
      <c r="F35" s="305">
        <f t="shared" si="1"/>
        <v>5</v>
      </c>
      <c r="G35" s="488">
        <v>3.0</v>
      </c>
      <c r="H35" s="489">
        <v>3.0</v>
      </c>
      <c r="I35" s="85">
        <f t="shared" si="2"/>
        <v>3</v>
      </c>
      <c r="J35" s="488">
        <v>4.0</v>
      </c>
      <c r="K35" s="62">
        <v>3.0</v>
      </c>
      <c r="L35" s="62">
        <v>3.0</v>
      </c>
      <c r="M35" s="62">
        <v>3.0</v>
      </c>
      <c r="N35" s="365">
        <f t="shared" si="3"/>
        <v>3</v>
      </c>
      <c r="O35" s="63">
        <v>4.0</v>
      </c>
      <c r="P35" s="63">
        <v>5.0</v>
      </c>
      <c r="Q35" s="63">
        <v>5.0</v>
      </c>
      <c r="R35" s="63">
        <v>4.0</v>
      </c>
      <c r="S35" s="63">
        <v>4.0</v>
      </c>
      <c r="T35" s="366">
        <f t="shared" si="4"/>
        <v>4</v>
      </c>
      <c r="U35" s="62">
        <v>5.0</v>
      </c>
      <c r="V35" s="62">
        <v>4.0</v>
      </c>
      <c r="W35" s="62">
        <v>4.0</v>
      </c>
      <c r="X35" s="68">
        <f t="shared" si="14"/>
        <v>4.333333333</v>
      </c>
      <c r="Y35" s="63">
        <v>4.0</v>
      </c>
      <c r="Z35" s="63">
        <v>4.0</v>
      </c>
      <c r="AA35" s="63">
        <v>4.0</v>
      </c>
      <c r="AB35" s="212">
        <f t="shared" si="15"/>
        <v>4.083333333</v>
      </c>
      <c r="AC35" s="250">
        <v>5.0</v>
      </c>
      <c r="AD35" s="250">
        <v>5.0</v>
      </c>
      <c r="AE35" s="250">
        <v>5.0</v>
      </c>
      <c r="AF35" s="250">
        <v>5.0</v>
      </c>
      <c r="AG35" s="67">
        <f t="shared" si="13"/>
        <v>5</v>
      </c>
      <c r="AH35" s="250">
        <v>4.0</v>
      </c>
      <c r="AI35" s="250">
        <v>4.0</v>
      </c>
      <c r="AJ35" s="213">
        <v>4.0</v>
      </c>
      <c r="AK35" s="63">
        <v>4.0</v>
      </c>
      <c r="AL35" s="70">
        <f t="shared" si="7"/>
        <v>4</v>
      </c>
      <c r="AM35" s="371">
        <f t="shared" si="8"/>
        <v>4.3</v>
      </c>
    </row>
    <row r="36" ht="15.75" customHeight="1">
      <c r="A36" s="74">
        <f t="shared" si="9"/>
        <v>29</v>
      </c>
      <c r="B36" s="304" t="s">
        <v>682</v>
      </c>
      <c r="C36" s="65" t="s">
        <v>45</v>
      </c>
      <c r="D36" s="62">
        <v>6.0</v>
      </c>
      <c r="E36" s="483">
        <v>6.0</v>
      </c>
      <c r="F36" s="305">
        <f t="shared" si="1"/>
        <v>6</v>
      </c>
      <c r="G36" s="488">
        <v>6.0</v>
      </c>
      <c r="H36" s="489">
        <v>6.0</v>
      </c>
      <c r="I36" s="85">
        <f t="shared" si="2"/>
        <v>6</v>
      </c>
      <c r="J36" s="488">
        <v>6.0</v>
      </c>
      <c r="K36" s="62">
        <v>4.0</v>
      </c>
      <c r="L36" s="62">
        <v>4.0</v>
      </c>
      <c r="M36" s="62">
        <v>4.0</v>
      </c>
      <c r="N36" s="365">
        <f t="shared" si="3"/>
        <v>4</v>
      </c>
      <c r="O36" s="63">
        <v>6.0</v>
      </c>
      <c r="P36" s="63">
        <v>6.0</v>
      </c>
      <c r="Q36" s="63">
        <v>6.0</v>
      </c>
      <c r="R36" s="63">
        <v>6.0</v>
      </c>
      <c r="S36" s="63">
        <v>6.0</v>
      </c>
      <c r="T36" s="366">
        <f t="shared" si="4"/>
        <v>6</v>
      </c>
      <c r="U36" s="62">
        <v>6.0</v>
      </c>
      <c r="V36" s="62">
        <v>5.0</v>
      </c>
      <c r="W36" s="62">
        <v>6.0</v>
      </c>
      <c r="X36" s="68">
        <f t="shared" si="14"/>
        <v>5.666666667</v>
      </c>
      <c r="Y36" s="63">
        <v>6.0</v>
      </c>
      <c r="Z36" s="63">
        <v>6.0</v>
      </c>
      <c r="AA36" s="63">
        <v>6.0</v>
      </c>
      <c r="AB36" s="212">
        <f t="shared" si="15"/>
        <v>5.916666667</v>
      </c>
      <c r="AC36" s="250">
        <v>6.0</v>
      </c>
      <c r="AD36" s="250">
        <v>6.0</v>
      </c>
      <c r="AE36" s="250">
        <v>6.0</v>
      </c>
      <c r="AF36" s="250">
        <v>6.0</v>
      </c>
      <c r="AG36" s="67">
        <f t="shared" si="13"/>
        <v>6</v>
      </c>
      <c r="AH36" s="250">
        <v>6.0</v>
      </c>
      <c r="AI36" s="250">
        <v>6.0</v>
      </c>
      <c r="AJ36" s="213">
        <v>6.0</v>
      </c>
      <c r="AK36" s="63">
        <v>6.0</v>
      </c>
      <c r="AL36" s="70">
        <f t="shared" si="7"/>
        <v>6</v>
      </c>
      <c r="AM36" s="371">
        <f t="shared" si="8"/>
        <v>5.8</v>
      </c>
    </row>
    <row r="37" ht="15.75" customHeight="1">
      <c r="A37" s="74">
        <f t="shared" si="9"/>
        <v>30</v>
      </c>
      <c r="B37" s="304" t="s">
        <v>683</v>
      </c>
      <c r="C37" s="65" t="s">
        <v>45</v>
      </c>
      <c r="D37" s="62">
        <v>6.0</v>
      </c>
      <c r="E37" s="483">
        <v>6.0</v>
      </c>
      <c r="F37" s="305">
        <f t="shared" si="1"/>
        <v>6</v>
      </c>
      <c r="G37" s="488">
        <v>4.0</v>
      </c>
      <c r="H37" s="489">
        <v>4.0</v>
      </c>
      <c r="I37" s="85">
        <f t="shared" si="2"/>
        <v>4</v>
      </c>
      <c r="J37" s="488">
        <v>4.0</v>
      </c>
      <c r="K37" s="62">
        <v>4.0</v>
      </c>
      <c r="L37" s="62">
        <v>4.0</v>
      </c>
      <c r="M37" s="62">
        <v>4.0</v>
      </c>
      <c r="N37" s="365">
        <f t="shared" si="3"/>
        <v>4</v>
      </c>
      <c r="O37" s="63">
        <v>4.0</v>
      </c>
      <c r="P37" s="63">
        <v>5.0</v>
      </c>
      <c r="Q37" s="63">
        <v>5.0</v>
      </c>
      <c r="R37" s="63">
        <v>4.0</v>
      </c>
      <c r="S37" s="63">
        <v>4.0</v>
      </c>
      <c r="T37" s="366">
        <f t="shared" si="4"/>
        <v>4</v>
      </c>
      <c r="U37" s="62">
        <v>6.0</v>
      </c>
      <c r="V37" s="62">
        <v>4.0</v>
      </c>
      <c r="W37" s="62">
        <v>4.0</v>
      </c>
      <c r="X37" s="68">
        <f t="shared" si="14"/>
        <v>4.666666667</v>
      </c>
      <c r="Y37" s="63">
        <v>4.0</v>
      </c>
      <c r="Z37" s="63">
        <v>4.0</v>
      </c>
      <c r="AA37" s="63">
        <v>4.0</v>
      </c>
      <c r="AB37" s="212">
        <f t="shared" si="15"/>
        <v>4.166666667</v>
      </c>
      <c r="AC37" s="250">
        <v>5.0</v>
      </c>
      <c r="AD37" s="250">
        <v>5.0</v>
      </c>
      <c r="AE37" s="250">
        <v>5.0</v>
      </c>
      <c r="AF37" s="250">
        <v>5.0</v>
      </c>
      <c r="AG37" s="67">
        <f t="shared" si="13"/>
        <v>5</v>
      </c>
      <c r="AH37" s="250">
        <v>5.0</v>
      </c>
      <c r="AI37" s="250">
        <v>5.0</v>
      </c>
      <c r="AJ37" s="213">
        <v>5.0</v>
      </c>
      <c r="AK37" s="63">
        <v>6.0</v>
      </c>
      <c r="AL37" s="70">
        <f t="shared" si="7"/>
        <v>5.333333333</v>
      </c>
      <c r="AM37" s="371">
        <f t="shared" si="8"/>
        <v>4.733333333</v>
      </c>
    </row>
    <row r="38" ht="15.75" customHeight="1">
      <c r="A38" s="74">
        <f t="shared" si="9"/>
        <v>31</v>
      </c>
      <c r="B38" s="304" t="s">
        <v>684</v>
      </c>
      <c r="C38" s="65" t="s">
        <v>45</v>
      </c>
      <c r="D38" s="62">
        <v>6.0</v>
      </c>
      <c r="E38" s="483">
        <v>6.0</v>
      </c>
      <c r="F38" s="305">
        <f t="shared" si="1"/>
        <v>6</v>
      </c>
      <c r="G38" s="488">
        <v>3.0</v>
      </c>
      <c r="H38" s="489">
        <v>3.0</v>
      </c>
      <c r="I38" s="85">
        <f t="shared" si="2"/>
        <v>3</v>
      </c>
      <c r="J38" s="488">
        <v>4.0</v>
      </c>
      <c r="K38" s="62">
        <v>4.0</v>
      </c>
      <c r="L38" s="62">
        <v>4.0</v>
      </c>
      <c r="M38" s="62">
        <v>4.0</v>
      </c>
      <c r="N38" s="365">
        <f t="shared" si="3"/>
        <v>4</v>
      </c>
      <c r="O38" s="63">
        <v>4.0</v>
      </c>
      <c r="P38" s="63">
        <v>5.0</v>
      </c>
      <c r="Q38" s="63">
        <v>5.0</v>
      </c>
      <c r="R38" s="63">
        <v>4.0</v>
      </c>
      <c r="S38" s="63">
        <v>4.0</v>
      </c>
      <c r="T38" s="366">
        <v>4.0</v>
      </c>
      <c r="U38" s="62">
        <v>6.0</v>
      </c>
      <c r="V38" s="62">
        <v>4.0</v>
      </c>
      <c r="W38" s="62">
        <v>4.0</v>
      </c>
      <c r="X38" s="68">
        <f t="shared" si="14"/>
        <v>4.666666667</v>
      </c>
      <c r="Y38" s="63">
        <v>5.0</v>
      </c>
      <c r="Z38" s="63">
        <v>5.0</v>
      </c>
      <c r="AA38" s="63">
        <v>4.0</v>
      </c>
      <c r="AB38" s="212">
        <f t="shared" si="15"/>
        <v>4.666666667</v>
      </c>
      <c r="AC38" s="250">
        <v>5.0</v>
      </c>
      <c r="AD38" s="250">
        <v>5.0</v>
      </c>
      <c r="AE38" s="250">
        <v>5.0</v>
      </c>
      <c r="AF38" s="250">
        <v>5.0</v>
      </c>
      <c r="AG38" s="67">
        <f t="shared" si="13"/>
        <v>5</v>
      </c>
      <c r="AH38" s="250">
        <v>4.0</v>
      </c>
      <c r="AI38" s="250">
        <v>4.0</v>
      </c>
      <c r="AJ38" s="213">
        <v>4.0</v>
      </c>
      <c r="AK38" s="63">
        <v>5.0</v>
      </c>
      <c r="AL38" s="70">
        <f t="shared" si="7"/>
        <v>4.333333333</v>
      </c>
      <c r="AM38" s="371">
        <f t="shared" si="8"/>
        <v>4.633333333</v>
      </c>
    </row>
    <row r="39" ht="15.75" customHeight="1">
      <c r="A39" s="74">
        <f t="shared" si="9"/>
        <v>32</v>
      </c>
      <c r="B39" s="304" t="s">
        <v>685</v>
      </c>
      <c r="C39" s="65" t="s">
        <v>45</v>
      </c>
      <c r="D39" s="65">
        <v>5.0</v>
      </c>
      <c r="E39" s="215">
        <v>5.0</v>
      </c>
      <c r="F39" s="305">
        <f t="shared" si="1"/>
        <v>5</v>
      </c>
      <c r="G39" s="494">
        <v>3.0</v>
      </c>
      <c r="H39" s="495">
        <v>3.0</v>
      </c>
      <c r="I39" s="85">
        <f t="shared" si="2"/>
        <v>3</v>
      </c>
      <c r="J39" s="494">
        <v>4.0</v>
      </c>
      <c r="K39" s="65">
        <v>4.0</v>
      </c>
      <c r="L39" s="65">
        <v>4.0</v>
      </c>
      <c r="M39" s="65">
        <v>4.0</v>
      </c>
      <c r="N39" s="365">
        <f t="shared" si="3"/>
        <v>4</v>
      </c>
      <c r="O39" s="63">
        <v>4.0</v>
      </c>
      <c r="P39" s="63">
        <v>5.0</v>
      </c>
      <c r="Q39" s="63">
        <v>5.0</v>
      </c>
      <c r="R39" s="63">
        <v>4.0</v>
      </c>
      <c r="S39" s="63">
        <v>4.0</v>
      </c>
      <c r="T39" s="366">
        <f t="shared" ref="T39:T46" si="16">SUM(R39:S39)/2</f>
        <v>4</v>
      </c>
      <c r="U39" s="62">
        <v>5.0</v>
      </c>
      <c r="V39" s="62">
        <v>4.0</v>
      </c>
      <c r="W39" s="62">
        <v>4.0</v>
      </c>
      <c r="X39" s="68">
        <f t="shared" si="14"/>
        <v>4.333333333</v>
      </c>
      <c r="Y39" s="65">
        <v>4.0</v>
      </c>
      <c r="Z39" s="65">
        <v>4.0</v>
      </c>
      <c r="AA39" s="65">
        <v>4.0</v>
      </c>
      <c r="AB39" s="212">
        <f t="shared" si="15"/>
        <v>4.083333333</v>
      </c>
      <c r="AC39" s="250">
        <v>5.0</v>
      </c>
      <c r="AD39" s="250">
        <v>5.0</v>
      </c>
      <c r="AE39" s="250">
        <v>5.0</v>
      </c>
      <c r="AF39" s="250">
        <v>5.0</v>
      </c>
      <c r="AG39" s="67">
        <f t="shared" si="13"/>
        <v>5</v>
      </c>
      <c r="AH39" s="65">
        <v>4.0</v>
      </c>
      <c r="AI39" s="65">
        <v>4.0</v>
      </c>
      <c r="AJ39" s="65">
        <v>4.0</v>
      </c>
      <c r="AK39" s="65">
        <v>5.0</v>
      </c>
      <c r="AL39" s="70">
        <f t="shared" si="7"/>
        <v>4.333333333</v>
      </c>
      <c r="AM39" s="371">
        <f t="shared" si="8"/>
        <v>4.433333333</v>
      </c>
    </row>
    <row r="40" ht="15.75" customHeight="1">
      <c r="A40" s="74">
        <f t="shared" si="9"/>
        <v>33</v>
      </c>
      <c r="B40" s="304" t="s">
        <v>686</v>
      </c>
      <c r="C40" s="65" t="s">
        <v>45</v>
      </c>
      <c r="D40" s="65">
        <v>6.0</v>
      </c>
      <c r="E40" s="215">
        <v>6.0</v>
      </c>
      <c r="F40" s="305">
        <f t="shared" si="1"/>
        <v>6</v>
      </c>
      <c r="G40" s="494">
        <v>6.0</v>
      </c>
      <c r="H40" s="495">
        <v>6.0</v>
      </c>
      <c r="I40" s="85">
        <f t="shared" si="2"/>
        <v>6</v>
      </c>
      <c r="J40" s="494">
        <v>6.0</v>
      </c>
      <c r="K40" s="65">
        <v>4.0</v>
      </c>
      <c r="L40" s="65">
        <v>4.0</v>
      </c>
      <c r="M40" s="65">
        <v>4.0</v>
      </c>
      <c r="N40" s="365">
        <f t="shared" si="3"/>
        <v>4</v>
      </c>
      <c r="O40" s="63">
        <v>6.0</v>
      </c>
      <c r="P40" s="63">
        <v>6.0</v>
      </c>
      <c r="Q40" s="63">
        <v>6.0</v>
      </c>
      <c r="R40" s="63">
        <v>6.0</v>
      </c>
      <c r="S40" s="63">
        <v>6.0</v>
      </c>
      <c r="T40" s="366">
        <f t="shared" si="16"/>
        <v>6</v>
      </c>
      <c r="U40" s="62">
        <v>6.0</v>
      </c>
      <c r="V40" s="62">
        <v>5.0</v>
      </c>
      <c r="W40" s="62">
        <v>6.0</v>
      </c>
      <c r="X40" s="68">
        <f t="shared" si="14"/>
        <v>5.666666667</v>
      </c>
      <c r="Y40" s="65">
        <v>6.0</v>
      </c>
      <c r="Z40" s="65">
        <v>6.0</v>
      </c>
      <c r="AA40" s="65">
        <v>6.0</v>
      </c>
      <c r="AB40" s="212">
        <f t="shared" si="15"/>
        <v>5.916666667</v>
      </c>
      <c r="AC40" s="250">
        <v>6.0</v>
      </c>
      <c r="AD40" s="250">
        <v>6.0</v>
      </c>
      <c r="AE40" s="250">
        <v>6.0</v>
      </c>
      <c r="AF40" s="250">
        <v>6.0</v>
      </c>
      <c r="AG40" s="67">
        <f t="shared" si="13"/>
        <v>6</v>
      </c>
      <c r="AH40" s="65">
        <v>6.0</v>
      </c>
      <c r="AI40" s="65">
        <v>6.0</v>
      </c>
      <c r="AJ40" s="65">
        <v>6.0</v>
      </c>
      <c r="AK40" s="65">
        <v>6.0</v>
      </c>
      <c r="AL40" s="70">
        <f t="shared" si="7"/>
        <v>6</v>
      </c>
      <c r="AM40" s="371">
        <f t="shared" si="8"/>
        <v>5.8</v>
      </c>
    </row>
    <row r="41" ht="15.75" customHeight="1">
      <c r="A41" s="74">
        <f t="shared" si="9"/>
        <v>34</v>
      </c>
      <c r="B41" s="304" t="s">
        <v>687</v>
      </c>
      <c r="C41" s="65" t="s">
        <v>45</v>
      </c>
      <c r="D41" s="65">
        <v>6.0</v>
      </c>
      <c r="E41" s="215">
        <v>6.0</v>
      </c>
      <c r="F41" s="305">
        <f t="shared" si="1"/>
        <v>6</v>
      </c>
      <c r="G41" s="494">
        <v>4.0</v>
      </c>
      <c r="H41" s="495">
        <v>4.0</v>
      </c>
      <c r="I41" s="85">
        <f t="shared" si="2"/>
        <v>4</v>
      </c>
      <c r="J41" s="494">
        <v>5.0</v>
      </c>
      <c r="K41" s="65">
        <v>4.0</v>
      </c>
      <c r="L41" s="65">
        <v>4.0</v>
      </c>
      <c r="M41" s="65">
        <v>4.0</v>
      </c>
      <c r="N41" s="365">
        <f t="shared" si="3"/>
        <v>4</v>
      </c>
      <c r="O41" s="63">
        <v>5.0</v>
      </c>
      <c r="P41" s="63">
        <v>5.0</v>
      </c>
      <c r="Q41" s="63">
        <v>5.0</v>
      </c>
      <c r="R41" s="63">
        <v>5.0</v>
      </c>
      <c r="S41" s="63">
        <v>5.0</v>
      </c>
      <c r="T41" s="366">
        <f t="shared" si="16"/>
        <v>5</v>
      </c>
      <c r="U41" s="62">
        <v>5.0</v>
      </c>
      <c r="V41" s="62">
        <v>4.0</v>
      </c>
      <c r="W41" s="62">
        <v>4.0</v>
      </c>
      <c r="X41" s="68">
        <f t="shared" si="14"/>
        <v>4.333333333</v>
      </c>
      <c r="Y41" s="65">
        <v>5.0</v>
      </c>
      <c r="Z41" s="65">
        <v>5.0</v>
      </c>
      <c r="AA41" s="65">
        <v>5.0</v>
      </c>
      <c r="AB41" s="212">
        <f t="shared" si="15"/>
        <v>4.833333333</v>
      </c>
      <c r="AC41" s="250">
        <v>5.0</v>
      </c>
      <c r="AD41" s="250">
        <v>5.0</v>
      </c>
      <c r="AE41" s="250">
        <v>5.0</v>
      </c>
      <c r="AF41" s="250">
        <v>5.0</v>
      </c>
      <c r="AG41" s="67">
        <f t="shared" si="13"/>
        <v>5</v>
      </c>
      <c r="AH41" s="65">
        <v>5.0</v>
      </c>
      <c r="AI41" s="65">
        <v>5.0</v>
      </c>
      <c r="AJ41" s="65">
        <v>5.0</v>
      </c>
      <c r="AK41" s="65">
        <v>6.0</v>
      </c>
      <c r="AL41" s="70">
        <f t="shared" si="7"/>
        <v>5.333333333</v>
      </c>
      <c r="AM41" s="371">
        <f t="shared" si="8"/>
        <v>4.933333333</v>
      </c>
    </row>
    <row r="42" ht="15.75" customHeight="1">
      <c r="A42" s="74">
        <f t="shared" si="9"/>
        <v>35</v>
      </c>
      <c r="B42" s="304" t="s">
        <v>688</v>
      </c>
      <c r="C42" s="65" t="s">
        <v>45</v>
      </c>
      <c r="D42" s="65">
        <v>6.0</v>
      </c>
      <c r="E42" s="215">
        <v>6.0</v>
      </c>
      <c r="F42" s="305">
        <f t="shared" si="1"/>
        <v>6</v>
      </c>
      <c r="G42" s="494">
        <v>6.0</v>
      </c>
      <c r="H42" s="495">
        <v>6.0</v>
      </c>
      <c r="I42" s="85">
        <f t="shared" si="2"/>
        <v>6</v>
      </c>
      <c r="J42" s="494">
        <v>6.0</v>
      </c>
      <c r="K42" s="65">
        <v>4.0</v>
      </c>
      <c r="L42" s="65">
        <v>4.0</v>
      </c>
      <c r="M42" s="65">
        <v>4.0</v>
      </c>
      <c r="N42" s="365">
        <f t="shared" si="3"/>
        <v>4</v>
      </c>
      <c r="O42" s="63">
        <v>6.0</v>
      </c>
      <c r="P42" s="63">
        <v>6.0</v>
      </c>
      <c r="Q42" s="63">
        <v>6.0</v>
      </c>
      <c r="R42" s="63">
        <v>6.0</v>
      </c>
      <c r="S42" s="63">
        <v>6.0</v>
      </c>
      <c r="T42" s="366">
        <f t="shared" si="16"/>
        <v>6</v>
      </c>
      <c r="U42" s="62">
        <v>6.0</v>
      </c>
      <c r="V42" s="62">
        <v>5.0</v>
      </c>
      <c r="W42" s="62">
        <v>6.0</v>
      </c>
      <c r="X42" s="68">
        <f t="shared" si="14"/>
        <v>5.666666667</v>
      </c>
      <c r="Y42" s="65">
        <v>5.0</v>
      </c>
      <c r="Z42" s="65">
        <v>5.0</v>
      </c>
      <c r="AA42" s="65">
        <v>5.0</v>
      </c>
      <c r="AB42" s="212">
        <f t="shared" si="15"/>
        <v>5.166666667</v>
      </c>
      <c r="AC42" s="250">
        <v>5.0</v>
      </c>
      <c r="AD42" s="250">
        <v>5.0</v>
      </c>
      <c r="AE42" s="250">
        <v>5.0</v>
      </c>
      <c r="AF42" s="250">
        <v>5.0</v>
      </c>
      <c r="AG42" s="67">
        <f t="shared" si="13"/>
        <v>5</v>
      </c>
      <c r="AH42" s="65">
        <v>5.0</v>
      </c>
      <c r="AI42" s="65">
        <v>5.0</v>
      </c>
      <c r="AJ42" s="65">
        <v>5.0</v>
      </c>
      <c r="AK42" s="65">
        <v>6.0</v>
      </c>
      <c r="AL42" s="70">
        <f t="shared" si="7"/>
        <v>5.333333333</v>
      </c>
      <c r="AM42" s="371">
        <f t="shared" si="8"/>
        <v>5.433333333</v>
      </c>
    </row>
    <row r="43" ht="15.75" customHeight="1">
      <c r="A43" s="74">
        <f t="shared" si="9"/>
        <v>36</v>
      </c>
      <c r="B43" s="304" t="s">
        <v>689</v>
      </c>
      <c r="C43" s="65" t="s">
        <v>44</v>
      </c>
      <c r="D43" s="65">
        <v>5.0</v>
      </c>
      <c r="E43" s="215">
        <v>5.0</v>
      </c>
      <c r="F43" s="305">
        <f t="shared" si="1"/>
        <v>5</v>
      </c>
      <c r="G43" s="494">
        <v>3.0</v>
      </c>
      <c r="H43" s="495">
        <v>3.0</v>
      </c>
      <c r="I43" s="85">
        <f t="shared" si="2"/>
        <v>3</v>
      </c>
      <c r="J43" s="494">
        <v>4.0</v>
      </c>
      <c r="K43" s="65">
        <v>4.0</v>
      </c>
      <c r="L43" s="65">
        <v>4.0</v>
      </c>
      <c r="M43" s="65">
        <v>4.0</v>
      </c>
      <c r="N43" s="365">
        <f t="shared" si="3"/>
        <v>4</v>
      </c>
      <c r="O43" s="63">
        <v>4.0</v>
      </c>
      <c r="P43" s="63">
        <v>5.0</v>
      </c>
      <c r="Q43" s="63">
        <v>5.0</v>
      </c>
      <c r="R43" s="63">
        <v>4.0</v>
      </c>
      <c r="S43" s="63">
        <v>4.0</v>
      </c>
      <c r="T43" s="366">
        <f t="shared" si="16"/>
        <v>4</v>
      </c>
      <c r="U43" s="62">
        <v>5.0</v>
      </c>
      <c r="V43" s="62">
        <v>4.0</v>
      </c>
      <c r="W43" s="62">
        <v>4.0</v>
      </c>
      <c r="X43" s="68">
        <f t="shared" si="14"/>
        <v>4.333333333</v>
      </c>
      <c r="Y43" s="65">
        <v>4.0</v>
      </c>
      <c r="Z43" s="65">
        <v>4.0</v>
      </c>
      <c r="AA43" s="65">
        <v>4.0</v>
      </c>
      <c r="AB43" s="212">
        <f t="shared" si="15"/>
        <v>4.083333333</v>
      </c>
      <c r="AC43" s="250">
        <v>5.0</v>
      </c>
      <c r="AD43" s="250">
        <v>5.0</v>
      </c>
      <c r="AE43" s="250">
        <v>5.0</v>
      </c>
      <c r="AF43" s="250">
        <v>5.0</v>
      </c>
      <c r="AG43" s="67">
        <f t="shared" si="13"/>
        <v>5</v>
      </c>
      <c r="AH43" s="65">
        <v>3.0</v>
      </c>
      <c r="AI43" s="65">
        <v>3.0</v>
      </c>
      <c r="AJ43" s="65">
        <v>3.0</v>
      </c>
      <c r="AK43" s="65">
        <v>4.0</v>
      </c>
      <c r="AL43" s="70">
        <f t="shared" si="7"/>
        <v>3.333333333</v>
      </c>
      <c r="AM43" s="371">
        <f t="shared" si="8"/>
        <v>4.233333333</v>
      </c>
    </row>
    <row r="44" ht="15.75" customHeight="1">
      <c r="A44" s="74">
        <f t="shared" si="9"/>
        <v>37</v>
      </c>
      <c r="B44" s="304" t="s">
        <v>690</v>
      </c>
      <c r="C44" s="65" t="s">
        <v>44</v>
      </c>
      <c r="D44" s="65">
        <v>6.0</v>
      </c>
      <c r="E44" s="215">
        <v>6.0</v>
      </c>
      <c r="F44" s="305">
        <f t="shared" si="1"/>
        <v>6</v>
      </c>
      <c r="G44" s="494">
        <v>6.0</v>
      </c>
      <c r="H44" s="495">
        <v>6.0</v>
      </c>
      <c r="I44" s="85">
        <f t="shared" si="2"/>
        <v>6</v>
      </c>
      <c r="J44" s="494">
        <v>6.0</v>
      </c>
      <c r="K44" s="65">
        <v>4.0</v>
      </c>
      <c r="L44" s="65">
        <v>4.0</v>
      </c>
      <c r="M44" s="65">
        <v>4.0</v>
      </c>
      <c r="N44" s="365">
        <f t="shared" si="3"/>
        <v>4</v>
      </c>
      <c r="O44" s="63">
        <v>6.0</v>
      </c>
      <c r="P44" s="63">
        <v>6.0</v>
      </c>
      <c r="Q44" s="63">
        <v>6.0</v>
      </c>
      <c r="R44" s="63">
        <v>6.0</v>
      </c>
      <c r="S44" s="63">
        <v>6.0</v>
      </c>
      <c r="T44" s="366">
        <f t="shared" si="16"/>
        <v>6</v>
      </c>
      <c r="U44" s="62">
        <v>6.0</v>
      </c>
      <c r="V44" s="62">
        <v>5.0</v>
      </c>
      <c r="W44" s="62">
        <v>6.0</v>
      </c>
      <c r="X44" s="68">
        <f t="shared" si="14"/>
        <v>5.666666667</v>
      </c>
      <c r="Y44" s="65">
        <v>6.0</v>
      </c>
      <c r="Z44" s="65">
        <v>6.0</v>
      </c>
      <c r="AA44" s="65">
        <v>6.0</v>
      </c>
      <c r="AB44" s="212">
        <f t="shared" si="15"/>
        <v>5.916666667</v>
      </c>
      <c r="AC44" s="250">
        <v>6.0</v>
      </c>
      <c r="AD44" s="250">
        <v>6.0</v>
      </c>
      <c r="AE44" s="250">
        <v>6.0</v>
      </c>
      <c r="AF44" s="250">
        <v>6.0</v>
      </c>
      <c r="AG44" s="67">
        <f t="shared" si="13"/>
        <v>6</v>
      </c>
      <c r="AH44" s="65">
        <v>6.0</v>
      </c>
      <c r="AI44" s="65">
        <v>6.0</v>
      </c>
      <c r="AJ44" s="65">
        <v>6.0</v>
      </c>
      <c r="AK44" s="65">
        <v>6.0</v>
      </c>
      <c r="AL44" s="70">
        <f t="shared" si="7"/>
        <v>6</v>
      </c>
      <c r="AM44" s="371">
        <f t="shared" si="8"/>
        <v>5.8</v>
      </c>
    </row>
    <row r="45" ht="15.75" customHeight="1">
      <c r="A45" s="74">
        <f t="shared" si="9"/>
        <v>38</v>
      </c>
      <c r="B45" s="75"/>
      <c r="C45" s="65"/>
      <c r="D45" s="65"/>
      <c r="E45" s="496"/>
      <c r="F45" s="305">
        <f t="shared" si="1"/>
        <v>0</v>
      </c>
      <c r="G45" s="494"/>
      <c r="H45" s="496"/>
      <c r="I45" s="85">
        <f t="shared" si="2"/>
        <v>0</v>
      </c>
      <c r="J45" s="497"/>
      <c r="K45" s="65"/>
      <c r="L45" s="65"/>
      <c r="M45" s="65"/>
      <c r="N45" s="365">
        <f t="shared" si="3"/>
        <v>0</v>
      </c>
      <c r="O45" s="63"/>
      <c r="P45" s="75"/>
      <c r="Q45" s="75"/>
      <c r="R45" s="75"/>
      <c r="S45" s="75"/>
      <c r="T45" s="366">
        <f t="shared" si="16"/>
        <v>0</v>
      </c>
      <c r="U45" s="75"/>
      <c r="V45" s="62"/>
      <c r="W45" s="75"/>
      <c r="X45" s="68">
        <f t="shared" si="14"/>
        <v>0</v>
      </c>
      <c r="Y45" s="75"/>
      <c r="Z45" s="75"/>
      <c r="AA45" s="75"/>
      <c r="AB45" s="212">
        <f t="shared" si="15"/>
        <v>0</v>
      </c>
      <c r="AC45" s="75"/>
      <c r="AD45" s="75"/>
      <c r="AE45" s="75"/>
      <c r="AF45" s="75"/>
      <c r="AG45" s="67">
        <f t="shared" si="13"/>
        <v>0</v>
      </c>
      <c r="AH45" s="75"/>
      <c r="AI45" s="75"/>
      <c r="AJ45" s="75"/>
      <c r="AK45" s="75"/>
      <c r="AL45" s="70">
        <f t="shared" si="7"/>
        <v>0</v>
      </c>
      <c r="AM45" s="371">
        <f t="shared" si="8"/>
        <v>0</v>
      </c>
    </row>
    <row r="46" ht="15.75" customHeight="1">
      <c r="A46" s="84">
        <v>38.0</v>
      </c>
      <c r="B46" s="163"/>
      <c r="C46" s="441"/>
      <c r="D46" s="441"/>
      <c r="E46" s="498"/>
      <c r="F46" s="305">
        <f t="shared" si="1"/>
        <v>0</v>
      </c>
      <c r="G46" s="499"/>
      <c r="H46" s="498"/>
      <c r="I46" s="85">
        <f t="shared" si="2"/>
        <v>0</v>
      </c>
      <c r="J46" s="500"/>
      <c r="K46" s="163"/>
      <c r="L46" s="163"/>
      <c r="M46" s="163"/>
      <c r="N46" s="374">
        <f t="shared" si="3"/>
        <v>0</v>
      </c>
      <c r="O46" s="164"/>
      <c r="P46" s="163"/>
      <c r="Q46" s="163"/>
      <c r="R46" s="163"/>
      <c r="S46" s="163"/>
      <c r="T46" s="375">
        <f t="shared" si="16"/>
        <v>0</v>
      </c>
      <c r="U46" s="163"/>
      <c r="V46" s="163"/>
      <c r="W46" s="163"/>
      <c r="X46" s="166">
        <f t="shared" si="14"/>
        <v>0</v>
      </c>
      <c r="Y46" s="163"/>
      <c r="Z46" s="163"/>
      <c r="AA46" s="163"/>
      <c r="AB46" s="376">
        <f t="shared" si="15"/>
        <v>0</v>
      </c>
      <c r="AC46" s="163"/>
      <c r="AD46" s="163"/>
      <c r="AE46" s="163"/>
      <c r="AF46" s="163"/>
      <c r="AG46" s="377">
        <f t="shared" si="13"/>
        <v>0</v>
      </c>
      <c r="AH46" s="163"/>
      <c r="AI46" s="163"/>
      <c r="AJ46" s="163"/>
      <c r="AK46" s="163"/>
      <c r="AL46" s="168">
        <f t="shared" si="7"/>
        <v>0</v>
      </c>
      <c r="AM46" s="378">
        <f t="shared" si="8"/>
        <v>0</v>
      </c>
    </row>
    <row r="47" ht="15.75" customHeight="1">
      <c r="C47" s="91"/>
      <c r="D47" s="91"/>
      <c r="G47" s="91"/>
    </row>
    <row r="48" ht="15.75" customHeight="1">
      <c r="D48" s="91"/>
      <c r="G48" s="91"/>
    </row>
    <row r="49" ht="15.75" customHeight="1">
      <c r="D49" s="91"/>
      <c r="G49" s="91"/>
    </row>
    <row r="50" ht="15.75" customHeight="1">
      <c r="D50" s="91"/>
      <c r="G50" s="91"/>
    </row>
    <row r="51" ht="15.75" customHeight="1">
      <c r="D51" s="91"/>
      <c r="G51" s="91"/>
    </row>
    <row r="52" ht="15.75" customHeight="1">
      <c r="D52" s="91"/>
      <c r="G52" s="91"/>
    </row>
    <row r="53" ht="15.75" customHeight="1">
      <c r="D53" s="91"/>
      <c r="G53" s="91"/>
    </row>
    <row r="54" ht="15.75" customHeight="1">
      <c r="D54" s="91"/>
      <c r="G54" s="91"/>
    </row>
    <row r="55" ht="15.75" customHeight="1">
      <c r="D55" s="91"/>
      <c r="G55" s="91"/>
    </row>
    <row r="56" ht="15.75" customHeight="1">
      <c r="D56" s="91"/>
      <c r="G56" s="91"/>
    </row>
    <row r="57" ht="15.75" customHeight="1">
      <c r="D57" s="91"/>
      <c r="G57" s="91"/>
    </row>
    <row r="58" ht="15.75" customHeight="1">
      <c r="D58" s="91"/>
      <c r="G58" s="91"/>
    </row>
    <row r="59" ht="15.75" customHeight="1">
      <c r="D59" s="91"/>
      <c r="G59" s="91"/>
    </row>
    <row r="60" ht="15.75" customHeight="1">
      <c r="D60" s="91"/>
      <c r="G60" s="91"/>
    </row>
    <row r="61" ht="15.75" customHeight="1">
      <c r="D61" s="91"/>
      <c r="G61" s="91"/>
    </row>
    <row r="62" ht="15.75" customHeight="1">
      <c r="D62" s="91"/>
      <c r="G62" s="91"/>
    </row>
    <row r="63" ht="15.75" customHeight="1">
      <c r="D63" s="91"/>
      <c r="G63" s="91"/>
    </row>
    <row r="64" ht="15.75" customHeight="1">
      <c r="D64" s="91"/>
      <c r="G64" s="91"/>
    </row>
    <row r="65" ht="15.75" customHeight="1">
      <c r="D65" s="91"/>
      <c r="G65" s="91"/>
    </row>
    <row r="66" ht="15.75" customHeight="1">
      <c r="D66" s="91"/>
      <c r="G66" s="91"/>
    </row>
    <row r="67" ht="15.75" customHeight="1">
      <c r="D67" s="91"/>
      <c r="G67" s="91"/>
    </row>
    <row r="68" ht="15.75" customHeight="1">
      <c r="D68" s="91"/>
      <c r="G68" s="91"/>
    </row>
    <row r="69" ht="15.75" customHeight="1">
      <c r="D69" s="91"/>
      <c r="G69" s="91"/>
    </row>
    <row r="70" ht="15.75" customHeight="1">
      <c r="D70" s="91"/>
      <c r="G70" s="91"/>
    </row>
    <row r="71" ht="15.75" customHeight="1">
      <c r="D71" s="91"/>
      <c r="G71" s="91"/>
    </row>
    <row r="72" ht="15.75" customHeight="1">
      <c r="D72" s="91"/>
      <c r="G72" s="91"/>
    </row>
    <row r="73" ht="15.75" customHeight="1">
      <c r="D73" s="91"/>
      <c r="G73" s="91"/>
    </row>
    <row r="74" ht="15.75" customHeight="1">
      <c r="D74" s="91"/>
      <c r="G74" s="91"/>
    </row>
    <row r="75" ht="15.75" customHeight="1">
      <c r="D75" s="91"/>
      <c r="G75" s="91"/>
    </row>
    <row r="76" ht="15.75" customHeight="1">
      <c r="D76" s="91"/>
      <c r="G76" s="91"/>
    </row>
    <row r="77" ht="15.75" customHeight="1">
      <c r="D77" s="91"/>
      <c r="G77" s="91"/>
    </row>
    <row r="78" ht="15.75" customHeight="1">
      <c r="D78" s="91"/>
      <c r="G78" s="91"/>
    </row>
    <row r="79" ht="15.75" customHeight="1">
      <c r="D79" s="91"/>
      <c r="G79" s="91"/>
    </row>
    <row r="80" ht="15.75" customHeight="1">
      <c r="D80" s="91"/>
      <c r="G80" s="91"/>
    </row>
    <row r="81" ht="15.75" customHeight="1">
      <c r="D81" s="91"/>
      <c r="G81" s="91"/>
    </row>
    <row r="82" ht="15.75" customHeight="1">
      <c r="D82" s="91"/>
      <c r="G82" s="91"/>
    </row>
    <row r="83" ht="15.75" customHeight="1">
      <c r="D83" s="91"/>
      <c r="G83" s="91"/>
    </row>
    <row r="84" ht="15.75" customHeight="1">
      <c r="D84" s="91"/>
      <c r="G84" s="91"/>
    </row>
    <row r="85" ht="15.75" customHeight="1">
      <c r="D85" s="91"/>
      <c r="G85" s="91"/>
    </row>
    <row r="86" ht="15.75" customHeight="1">
      <c r="D86" s="91"/>
      <c r="G86" s="91"/>
    </row>
    <row r="87" ht="15.75" customHeight="1">
      <c r="D87" s="91"/>
      <c r="G87" s="91"/>
    </row>
    <row r="88" ht="15.75" customHeight="1">
      <c r="D88" s="91"/>
      <c r="G88" s="91"/>
    </row>
    <row r="89" ht="15.75" customHeight="1">
      <c r="D89" s="91"/>
      <c r="G89" s="91"/>
    </row>
    <row r="90" ht="15.75" customHeight="1">
      <c r="D90" s="91"/>
      <c r="G90" s="91"/>
    </row>
    <row r="91" ht="15.75" customHeight="1">
      <c r="D91" s="91"/>
      <c r="G91" s="91"/>
    </row>
    <row r="92" ht="15.75" customHeight="1">
      <c r="D92" s="91"/>
      <c r="G92" s="91"/>
    </row>
    <row r="93" ht="15.75" customHeight="1">
      <c r="D93" s="91"/>
      <c r="G93" s="91"/>
    </row>
    <row r="94" ht="15.75" customHeight="1">
      <c r="D94" s="91"/>
      <c r="G94" s="91"/>
    </row>
    <row r="95" ht="15.75" customHeight="1">
      <c r="D95" s="91"/>
      <c r="G95" s="91"/>
    </row>
    <row r="96" ht="15.75" customHeight="1">
      <c r="D96" s="91"/>
      <c r="G96" s="91"/>
    </row>
    <row r="97" ht="15.75" customHeight="1">
      <c r="D97" s="91"/>
      <c r="G97" s="91"/>
    </row>
    <row r="98" ht="15.75" customHeight="1">
      <c r="D98" s="91"/>
      <c r="G98" s="91"/>
    </row>
    <row r="99" ht="15.75" customHeight="1">
      <c r="D99" s="91"/>
      <c r="G99" s="91"/>
    </row>
    <row r="100" ht="15.75" customHeight="1">
      <c r="D100" s="91"/>
      <c r="G100" s="91"/>
    </row>
    <row r="101" ht="15.75" customHeight="1">
      <c r="D101" s="91"/>
      <c r="G101" s="91"/>
    </row>
    <row r="102" ht="15.75" customHeight="1">
      <c r="D102" s="91"/>
      <c r="G102" s="91"/>
    </row>
    <row r="103" ht="15.75" customHeight="1">
      <c r="D103" s="91"/>
      <c r="G103" s="91"/>
    </row>
    <row r="104" ht="15.75" customHeight="1">
      <c r="D104" s="91"/>
      <c r="G104" s="91"/>
    </row>
    <row r="105" ht="15.75" customHeight="1">
      <c r="D105" s="91"/>
      <c r="G105" s="91"/>
    </row>
    <row r="106" ht="15.75" customHeight="1">
      <c r="D106" s="91"/>
      <c r="G106" s="91"/>
    </row>
    <row r="107" ht="15.75" customHeight="1">
      <c r="D107" s="91"/>
      <c r="G107" s="91"/>
    </row>
    <row r="108" ht="15.75" customHeight="1">
      <c r="D108" s="91"/>
      <c r="G108" s="91"/>
    </row>
    <row r="109" ht="15.75" customHeight="1">
      <c r="D109" s="91"/>
      <c r="G109" s="91"/>
    </row>
    <row r="110" ht="15.75" customHeight="1">
      <c r="D110" s="91"/>
      <c r="G110" s="91"/>
    </row>
    <row r="111" ht="15.75" customHeight="1">
      <c r="D111" s="91"/>
      <c r="G111" s="91"/>
    </row>
    <row r="112" ht="15.75" customHeight="1">
      <c r="D112" s="91"/>
      <c r="G112" s="91"/>
    </row>
    <row r="113" ht="15.75" customHeight="1">
      <c r="D113" s="91"/>
      <c r="G113" s="91"/>
    </row>
    <row r="114" ht="15.75" customHeight="1">
      <c r="D114" s="91"/>
      <c r="G114" s="91"/>
    </row>
    <row r="115" ht="15.75" customHeight="1">
      <c r="D115" s="91"/>
      <c r="G115" s="91"/>
    </row>
    <row r="116" ht="15.75" customHeight="1">
      <c r="D116" s="91"/>
      <c r="G116" s="91"/>
    </row>
    <row r="117" ht="15.75" customHeight="1">
      <c r="D117" s="91"/>
      <c r="G117" s="91"/>
    </row>
    <row r="118" ht="15.75" customHeight="1">
      <c r="D118" s="91"/>
      <c r="G118" s="91"/>
    </row>
    <row r="119" ht="15.75" customHeight="1">
      <c r="D119" s="91"/>
      <c r="G119" s="91"/>
    </row>
    <row r="120" ht="15.75" customHeight="1">
      <c r="D120" s="91"/>
      <c r="G120" s="91"/>
    </row>
    <row r="121" ht="15.75" customHeight="1">
      <c r="D121" s="91"/>
      <c r="G121" s="91"/>
    </row>
    <row r="122" ht="15.75" customHeight="1">
      <c r="D122" s="91"/>
      <c r="G122" s="91"/>
    </row>
    <row r="123" ht="15.75" customHeight="1">
      <c r="D123" s="91"/>
      <c r="G123" s="91"/>
    </row>
    <row r="124" ht="15.75" customHeight="1">
      <c r="D124" s="91"/>
      <c r="G124" s="91"/>
    </row>
    <row r="125" ht="15.75" customHeight="1">
      <c r="D125" s="91"/>
      <c r="G125" s="91"/>
    </row>
    <row r="126" ht="15.75" customHeight="1">
      <c r="D126" s="91"/>
      <c r="G126" s="91"/>
    </row>
    <row r="127" ht="15.75" customHeight="1">
      <c r="D127" s="91"/>
      <c r="G127" s="91"/>
    </row>
    <row r="128" ht="15.75" customHeight="1">
      <c r="D128" s="91"/>
      <c r="G128" s="91"/>
    </row>
    <row r="129" ht="15.75" customHeight="1">
      <c r="D129" s="91"/>
      <c r="G129" s="91"/>
    </row>
    <row r="130" ht="15.75" customHeight="1">
      <c r="D130" s="91"/>
      <c r="G130" s="91"/>
    </row>
    <row r="131" ht="15.75" customHeight="1">
      <c r="D131" s="91"/>
      <c r="G131" s="91"/>
    </row>
    <row r="132" ht="15.75" customHeight="1">
      <c r="D132" s="91"/>
      <c r="G132" s="91"/>
    </row>
    <row r="133" ht="15.75" customHeight="1">
      <c r="D133" s="91"/>
      <c r="G133" s="91"/>
    </row>
    <row r="134" ht="15.75" customHeight="1">
      <c r="D134" s="91"/>
      <c r="G134" s="91"/>
    </row>
    <row r="135" ht="15.75" customHeight="1">
      <c r="D135" s="91"/>
      <c r="G135" s="91"/>
    </row>
    <row r="136" ht="15.75" customHeight="1">
      <c r="D136" s="91"/>
      <c r="G136" s="91"/>
    </row>
    <row r="137" ht="15.75" customHeight="1">
      <c r="D137" s="91"/>
      <c r="G137" s="91"/>
    </row>
    <row r="138" ht="15.75" customHeight="1">
      <c r="D138" s="91"/>
      <c r="G138" s="91"/>
    </row>
    <row r="139" ht="15.75" customHeight="1">
      <c r="D139" s="91"/>
      <c r="G139" s="91"/>
    </row>
    <row r="140" ht="15.75" customHeight="1">
      <c r="D140" s="91"/>
      <c r="G140" s="91"/>
    </row>
    <row r="141" ht="15.75" customHeight="1">
      <c r="D141" s="91"/>
      <c r="G141" s="91"/>
    </row>
    <row r="142" ht="15.75" customHeight="1">
      <c r="D142" s="91"/>
      <c r="G142" s="91"/>
    </row>
    <row r="143" ht="15.75" customHeight="1">
      <c r="D143" s="91"/>
      <c r="G143" s="91"/>
    </row>
    <row r="144" ht="15.75" customHeight="1">
      <c r="D144" s="91"/>
      <c r="G144" s="91"/>
    </row>
    <row r="145" ht="15.75" customHeight="1">
      <c r="D145" s="91"/>
      <c r="G145" s="91"/>
    </row>
    <row r="146" ht="15.75" customHeight="1">
      <c r="D146" s="91"/>
      <c r="G146" s="91"/>
    </row>
    <row r="147" ht="15.75" customHeight="1">
      <c r="D147" s="91"/>
      <c r="G147" s="91"/>
    </row>
    <row r="148" ht="15.75" customHeight="1">
      <c r="D148" s="91"/>
      <c r="G148" s="91"/>
    </row>
    <row r="149" ht="15.75" customHeight="1">
      <c r="D149" s="91"/>
      <c r="G149" s="91"/>
    </row>
    <row r="150" ht="15.75" customHeight="1">
      <c r="D150" s="91"/>
      <c r="G150" s="91"/>
    </row>
    <row r="151" ht="15.75" customHeight="1">
      <c r="D151" s="91"/>
      <c r="G151" s="91"/>
    </row>
    <row r="152" ht="15.75" customHeight="1">
      <c r="D152" s="91"/>
      <c r="G152" s="91"/>
    </row>
    <row r="153" ht="15.75" customHeight="1">
      <c r="D153" s="91"/>
      <c r="G153" s="91"/>
    </row>
    <row r="154" ht="15.75" customHeight="1">
      <c r="D154" s="91"/>
      <c r="G154" s="91"/>
    </row>
    <row r="155" ht="15.75" customHeight="1">
      <c r="D155" s="91"/>
      <c r="G155" s="91"/>
    </row>
    <row r="156" ht="15.75" customHeight="1">
      <c r="D156" s="91"/>
      <c r="G156" s="91"/>
    </row>
    <row r="157" ht="15.75" customHeight="1">
      <c r="D157" s="91"/>
      <c r="G157" s="91"/>
    </row>
    <row r="158" ht="15.75" customHeight="1">
      <c r="D158" s="91"/>
      <c r="G158" s="91"/>
    </row>
    <row r="159" ht="15.75" customHeight="1">
      <c r="D159" s="91"/>
      <c r="G159" s="91"/>
    </row>
    <row r="160" ht="15.75" customHeight="1">
      <c r="D160" s="91"/>
      <c r="G160" s="91"/>
    </row>
    <row r="161" ht="15.75" customHeight="1">
      <c r="D161" s="91"/>
      <c r="G161" s="91"/>
    </row>
    <row r="162" ht="15.75" customHeight="1">
      <c r="D162" s="91"/>
      <c r="G162" s="91"/>
    </row>
    <row r="163" ht="15.75" customHeight="1">
      <c r="D163" s="91"/>
      <c r="G163" s="91"/>
    </row>
    <row r="164" ht="15.75" customHeight="1">
      <c r="D164" s="91"/>
      <c r="G164" s="91"/>
    </row>
    <row r="165" ht="15.75" customHeight="1">
      <c r="D165" s="91"/>
      <c r="G165" s="91"/>
    </row>
    <row r="166" ht="15.75" customHeight="1">
      <c r="D166" s="91"/>
      <c r="G166" s="91"/>
    </row>
    <row r="167" ht="15.75" customHeight="1">
      <c r="D167" s="91"/>
      <c r="G167" s="91"/>
    </row>
    <row r="168" ht="15.75" customHeight="1">
      <c r="D168" s="91"/>
      <c r="G168" s="91"/>
    </row>
    <row r="169" ht="15.75" customHeight="1">
      <c r="D169" s="91"/>
      <c r="G169" s="91"/>
    </row>
    <row r="170" ht="15.75" customHeight="1">
      <c r="D170" s="91"/>
      <c r="G170" s="91"/>
    </row>
    <row r="171" ht="15.75" customHeight="1">
      <c r="D171" s="91"/>
      <c r="G171" s="91"/>
    </row>
    <row r="172" ht="15.75" customHeight="1">
      <c r="D172" s="91"/>
      <c r="G172" s="91"/>
    </row>
    <row r="173" ht="15.75" customHeight="1">
      <c r="D173" s="91"/>
      <c r="G173" s="91"/>
    </row>
    <row r="174" ht="15.75" customHeight="1">
      <c r="D174" s="91"/>
      <c r="G174" s="91"/>
    </row>
    <row r="175" ht="15.75" customHeight="1">
      <c r="D175" s="91"/>
      <c r="G175" s="91"/>
    </row>
    <row r="176" ht="15.75" customHeight="1">
      <c r="D176" s="91"/>
      <c r="G176" s="91"/>
    </row>
    <row r="177" ht="15.75" customHeight="1">
      <c r="D177" s="91"/>
      <c r="G177" s="91"/>
    </row>
    <row r="178" ht="15.75" customHeight="1">
      <c r="D178" s="91"/>
      <c r="G178" s="91"/>
    </row>
    <row r="179" ht="15.75" customHeight="1">
      <c r="D179" s="91"/>
      <c r="G179" s="91"/>
    </row>
    <row r="180" ht="15.75" customHeight="1">
      <c r="D180" s="91"/>
      <c r="G180" s="91"/>
    </row>
    <row r="181" ht="15.75" customHeight="1">
      <c r="D181" s="91"/>
      <c r="G181" s="91"/>
    </row>
    <row r="182" ht="15.75" customHeight="1">
      <c r="D182" s="91"/>
      <c r="G182" s="91"/>
    </row>
    <row r="183" ht="15.75" customHeight="1">
      <c r="D183" s="91"/>
      <c r="G183" s="91"/>
    </row>
    <row r="184" ht="15.75" customHeight="1">
      <c r="D184" s="91"/>
      <c r="G184" s="91"/>
    </row>
    <row r="185" ht="15.75" customHeight="1">
      <c r="D185" s="91"/>
      <c r="G185" s="91"/>
    </row>
    <row r="186" ht="15.75" customHeight="1">
      <c r="D186" s="91"/>
      <c r="G186" s="91"/>
    </row>
    <row r="187" ht="15.75" customHeight="1">
      <c r="D187" s="91"/>
      <c r="G187" s="91"/>
    </row>
    <row r="188" ht="15.75" customHeight="1">
      <c r="D188" s="91"/>
      <c r="G188" s="91"/>
    </row>
    <row r="189" ht="15.75" customHeight="1">
      <c r="D189" s="91"/>
      <c r="G189" s="91"/>
    </row>
    <row r="190" ht="15.75" customHeight="1">
      <c r="D190" s="91"/>
      <c r="G190" s="91"/>
    </row>
    <row r="191" ht="15.75" customHeight="1">
      <c r="D191" s="91"/>
      <c r="G191" s="91"/>
    </row>
    <row r="192" ht="15.75" customHeight="1">
      <c r="D192" s="91"/>
      <c r="G192" s="91"/>
    </row>
    <row r="193" ht="15.75" customHeight="1">
      <c r="D193" s="91"/>
      <c r="G193" s="91"/>
    </row>
    <row r="194" ht="15.75" customHeight="1">
      <c r="D194" s="91"/>
      <c r="G194" s="91"/>
    </row>
    <row r="195" ht="15.75" customHeight="1">
      <c r="D195" s="91"/>
      <c r="G195" s="91"/>
    </row>
    <row r="196" ht="15.75" customHeight="1">
      <c r="D196" s="91"/>
      <c r="G196" s="91"/>
    </row>
    <row r="197" ht="15.75" customHeight="1">
      <c r="D197" s="91"/>
      <c r="G197" s="91"/>
    </row>
    <row r="198" ht="15.75" customHeight="1">
      <c r="D198" s="91"/>
      <c r="G198" s="91"/>
    </row>
    <row r="199" ht="15.75" customHeight="1">
      <c r="D199" s="91"/>
      <c r="G199" s="91"/>
    </row>
    <row r="200" ht="15.75" customHeight="1">
      <c r="D200" s="91"/>
      <c r="G200" s="91"/>
    </row>
    <row r="201" ht="15.75" customHeight="1">
      <c r="D201" s="91"/>
      <c r="G201" s="91"/>
    </row>
    <row r="202" ht="15.75" customHeight="1">
      <c r="D202" s="91"/>
      <c r="G202" s="91"/>
    </row>
    <row r="203" ht="15.75" customHeight="1">
      <c r="D203" s="91"/>
      <c r="G203" s="91"/>
    </row>
    <row r="204" ht="15.75" customHeight="1">
      <c r="D204" s="91"/>
      <c r="G204" s="91"/>
    </row>
    <row r="205" ht="15.75" customHeight="1">
      <c r="D205" s="91"/>
      <c r="G205" s="91"/>
    </row>
    <row r="206" ht="15.75" customHeight="1">
      <c r="D206" s="91"/>
      <c r="G206" s="91"/>
    </row>
    <row r="207" ht="15.75" customHeight="1">
      <c r="D207" s="91"/>
      <c r="G207" s="91"/>
    </row>
    <row r="208" ht="15.75" customHeight="1">
      <c r="D208" s="91"/>
      <c r="G208" s="91"/>
    </row>
    <row r="209" ht="15.75" customHeight="1">
      <c r="D209" s="91"/>
      <c r="G209" s="91"/>
    </row>
    <row r="210" ht="15.75" customHeight="1">
      <c r="D210" s="91"/>
      <c r="G210" s="91"/>
    </row>
    <row r="211" ht="15.75" customHeight="1">
      <c r="D211" s="91"/>
      <c r="G211" s="91"/>
    </row>
    <row r="212" ht="15.75" customHeight="1">
      <c r="D212" s="91"/>
      <c r="G212" s="91"/>
    </row>
    <row r="213" ht="15.75" customHeight="1">
      <c r="D213" s="91"/>
      <c r="G213" s="91"/>
    </row>
    <row r="214" ht="15.75" customHeight="1">
      <c r="D214" s="91"/>
      <c r="G214" s="91"/>
    </row>
    <row r="215" ht="15.75" customHeight="1">
      <c r="D215" s="91"/>
      <c r="G215" s="91"/>
    </row>
    <row r="216" ht="15.75" customHeight="1">
      <c r="D216" s="91"/>
      <c r="G216" s="91"/>
    </row>
    <row r="217" ht="15.75" customHeight="1">
      <c r="D217" s="91"/>
      <c r="G217" s="91"/>
    </row>
    <row r="218" ht="15.75" customHeight="1">
      <c r="D218" s="91"/>
      <c r="G218" s="91"/>
    </row>
    <row r="219" ht="15.75" customHeight="1">
      <c r="D219" s="91"/>
      <c r="G219" s="91"/>
    </row>
    <row r="220" ht="15.75" customHeight="1">
      <c r="D220" s="91"/>
      <c r="G220" s="91"/>
    </row>
    <row r="221" ht="15.75" customHeight="1">
      <c r="D221" s="91"/>
      <c r="G221" s="91"/>
    </row>
    <row r="222" ht="15.75" customHeight="1">
      <c r="D222" s="91"/>
      <c r="G222" s="91"/>
    </row>
    <row r="223" ht="15.75" customHeight="1">
      <c r="D223" s="91"/>
      <c r="G223" s="91"/>
    </row>
    <row r="224" ht="15.75" customHeight="1">
      <c r="D224" s="91"/>
      <c r="G224" s="91"/>
    </row>
    <row r="225" ht="15.75" customHeight="1">
      <c r="D225" s="91"/>
      <c r="G225" s="91"/>
    </row>
    <row r="226" ht="15.75" customHeight="1">
      <c r="D226" s="91"/>
      <c r="G226" s="91"/>
    </row>
    <row r="227" ht="15.75" customHeight="1">
      <c r="D227" s="91"/>
      <c r="G227" s="91"/>
    </row>
    <row r="228" ht="15.75" customHeight="1">
      <c r="D228" s="91"/>
      <c r="G228" s="91"/>
    </row>
    <row r="229" ht="15.75" customHeight="1">
      <c r="D229" s="91"/>
      <c r="G229" s="91"/>
    </row>
    <row r="230" ht="15.75" customHeight="1">
      <c r="D230" s="91"/>
      <c r="G230" s="91"/>
    </row>
    <row r="231" ht="15.75" customHeight="1">
      <c r="D231" s="91"/>
      <c r="G231" s="91"/>
    </row>
    <row r="232" ht="15.75" customHeight="1">
      <c r="D232" s="91"/>
      <c r="G232" s="91"/>
    </row>
    <row r="233" ht="15.75" customHeight="1">
      <c r="D233" s="91"/>
      <c r="G233" s="91"/>
    </row>
    <row r="234" ht="15.75" customHeight="1">
      <c r="D234" s="91"/>
      <c r="G234" s="91"/>
    </row>
    <row r="235" ht="15.75" customHeight="1">
      <c r="D235" s="91"/>
      <c r="G235" s="91"/>
    </row>
    <row r="236" ht="15.75" customHeight="1">
      <c r="D236" s="91"/>
      <c r="G236" s="91"/>
    </row>
    <row r="237" ht="15.75" customHeight="1">
      <c r="D237" s="91"/>
      <c r="G237" s="91"/>
    </row>
    <row r="238" ht="15.75" customHeight="1">
      <c r="D238" s="91"/>
      <c r="G238" s="91"/>
    </row>
    <row r="239" ht="15.75" customHeight="1">
      <c r="D239" s="91"/>
      <c r="G239" s="91"/>
    </row>
    <row r="240" ht="15.75" customHeight="1">
      <c r="D240" s="91"/>
      <c r="G240" s="91"/>
    </row>
    <row r="241" ht="15.75" customHeight="1">
      <c r="D241" s="91"/>
      <c r="G241" s="91"/>
    </row>
    <row r="242" ht="15.75" customHeight="1">
      <c r="D242" s="91"/>
      <c r="G242" s="91"/>
    </row>
    <row r="243" ht="15.75" customHeight="1">
      <c r="D243" s="91"/>
      <c r="G243" s="91"/>
    </row>
    <row r="244" ht="15.75" customHeight="1">
      <c r="D244" s="91"/>
      <c r="G244" s="91"/>
    </row>
    <row r="245" ht="15.75" customHeight="1">
      <c r="D245" s="91"/>
      <c r="G245" s="91"/>
    </row>
    <row r="246" ht="15.75" customHeight="1">
      <c r="D246" s="91"/>
      <c r="G246" s="91"/>
    </row>
    <row r="247" ht="15.75" customHeight="1">
      <c r="D247" s="91"/>
      <c r="G247" s="91"/>
    </row>
    <row r="248" ht="15.75" customHeight="1">
      <c r="D248" s="91"/>
      <c r="G248" s="91"/>
    </row>
    <row r="249" ht="15.75" customHeight="1">
      <c r="D249" s="91"/>
      <c r="G249" s="91"/>
    </row>
    <row r="250" ht="15.75" customHeight="1">
      <c r="D250" s="91"/>
      <c r="G250" s="91"/>
    </row>
    <row r="251" ht="15.75" customHeight="1">
      <c r="D251" s="91"/>
      <c r="G251" s="91"/>
    </row>
    <row r="252" ht="15.75" customHeight="1">
      <c r="D252" s="91"/>
      <c r="G252" s="91"/>
    </row>
    <row r="253" ht="15.75" customHeight="1">
      <c r="D253" s="91"/>
      <c r="G253" s="91"/>
    </row>
    <row r="254" ht="15.75" customHeight="1">
      <c r="D254" s="91"/>
      <c r="G254" s="91"/>
    </row>
    <row r="255" ht="15.75" customHeight="1">
      <c r="D255" s="91"/>
      <c r="G255" s="91"/>
    </row>
    <row r="256" ht="15.75" customHeight="1">
      <c r="D256" s="91"/>
      <c r="G256" s="91"/>
    </row>
    <row r="257" ht="15.75" customHeight="1">
      <c r="D257" s="91"/>
      <c r="G257" s="91"/>
    </row>
    <row r="258" ht="15.75" customHeight="1">
      <c r="D258" s="91"/>
      <c r="G258" s="91"/>
    </row>
    <row r="259" ht="15.75" customHeight="1">
      <c r="D259" s="91"/>
      <c r="G259" s="91"/>
    </row>
    <row r="260" ht="15.75" customHeight="1">
      <c r="D260" s="91"/>
      <c r="G260" s="91"/>
    </row>
    <row r="261" ht="15.75" customHeight="1">
      <c r="D261" s="91"/>
      <c r="G261" s="91"/>
    </row>
    <row r="262" ht="15.75" customHeight="1">
      <c r="D262" s="91"/>
      <c r="G262" s="91"/>
    </row>
    <row r="263" ht="15.75" customHeight="1">
      <c r="D263" s="91"/>
      <c r="G263" s="91"/>
    </row>
    <row r="264" ht="15.75" customHeight="1">
      <c r="D264" s="91"/>
      <c r="G264" s="91"/>
    </row>
    <row r="265" ht="15.75" customHeight="1">
      <c r="D265" s="91"/>
      <c r="G265" s="91"/>
    </row>
    <row r="266" ht="15.75" customHeight="1">
      <c r="D266" s="91"/>
      <c r="G266" s="91"/>
    </row>
    <row r="267" ht="15.75" customHeight="1">
      <c r="D267" s="91"/>
      <c r="G267" s="91"/>
    </row>
    <row r="268" ht="15.75" customHeight="1">
      <c r="D268" s="91"/>
      <c r="G268" s="91"/>
    </row>
    <row r="269" ht="15.75" customHeight="1">
      <c r="D269" s="91"/>
      <c r="G269" s="91"/>
    </row>
    <row r="270" ht="15.75" customHeight="1">
      <c r="D270" s="91"/>
      <c r="G270" s="91"/>
    </row>
    <row r="271" ht="15.75" customHeight="1">
      <c r="D271" s="91"/>
      <c r="G271" s="91"/>
    </row>
    <row r="272" ht="15.75" customHeight="1">
      <c r="D272" s="91"/>
      <c r="G272" s="91"/>
    </row>
    <row r="273" ht="15.75" customHeight="1">
      <c r="D273" s="91"/>
      <c r="G273" s="91"/>
    </row>
    <row r="274" ht="15.75" customHeight="1">
      <c r="D274" s="91"/>
      <c r="G274" s="91"/>
    </row>
    <row r="275" ht="15.75" customHeight="1">
      <c r="D275" s="91"/>
      <c r="G275" s="91"/>
    </row>
    <row r="276" ht="15.75" customHeight="1">
      <c r="D276" s="91"/>
      <c r="G276" s="91"/>
    </row>
    <row r="277" ht="15.75" customHeight="1">
      <c r="D277" s="91"/>
      <c r="G277" s="91"/>
    </row>
    <row r="278" ht="15.75" customHeight="1">
      <c r="D278" s="91"/>
      <c r="G278" s="91"/>
    </row>
    <row r="279" ht="15.75" customHeight="1">
      <c r="D279" s="91"/>
      <c r="G279" s="91"/>
    </row>
    <row r="280" ht="15.75" customHeight="1">
      <c r="D280" s="91"/>
      <c r="G280" s="91"/>
    </row>
    <row r="281" ht="15.75" customHeight="1">
      <c r="D281" s="91"/>
      <c r="G281" s="91"/>
    </row>
    <row r="282" ht="15.75" customHeight="1">
      <c r="D282" s="91"/>
      <c r="G282" s="91"/>
    </row>
    <row r="283" ht="15.75" customHeight="1">
      <c r="D283" s="91"/>
      <c r="G283" s="91"/>
    </row>
    <row r="284" ht="15.75" customHeight="1">
      <c r="D284" s="91"/>
      <c r="G284" s="91"/>
    </row>
    <row r="285" ht="15.75" customHeight="1">
      <c r="D285" s="91"/>
      <c r="G285" s="91"/>
    </row>
    <row r="286" ht="15.75" customHeight="1">
      <c r="D286" s="91"/>
      <c r="G286" s="91"/>
    </row>
    <row r="287" ht="15.75" customHeight="1">
      <c r="D287" s="91"/>
      <c r="G287" s="91"/>
    </row>
    <row r="288" ht="15.75" customHeight="1">
      <c r="D288" s="91"/>
      <c r="G288" s="91"/>
    </row>
    <row r="289" ht="15.75" customHeight="1">
      <c r="D289" s="91"/>
      <c r="G289" s="91"/>
    </row>
    <row r="290" ht="15.75" customHeight="1">
      <c r="D290" s="91"/>
      <c r="G290" s="91"/>
    </row>
    <row r="291" ht="15.75" customHeight="1">
      <c r="D291" s="91"/>
      <c r="G291" s="91"/>
    </row>
    <row r="292" ht="15.75" customHeight="1">
      <c r="D292" s="91"/>
      <c r="G292" s="91"/>
    </row>
    <row r="293" ht="15.75" customHeight="1">
      <c r="D293" s="91"/>
      <c r="G293" s="91"/>
    </row>
    <row r="294" ht="15.75" customHeight="1">
      <c r="D294" s="91"/>
      <c r="G294" s="91"/>
    </row>
    <row r="295" ht="15.75" customHeight="1">
      <c r="D295" s="91"/>
      <c r="G295" s="91"/>
    </row>
    <row r="296" ht="15.75" customHeight="1">
      <c r="D296" s="91"/>
      <c r="G296" s="91"/>
    </row>
    <row r="297" ht="15.75" customHeight="1">
      <c r="D297" s="91"/>
      <c r="G297" s="91"/>
    </row>
    <row r="298" ht="15.75" customHeight="1">
      <c r="D298" s="91"/>
      <c r="G298" s="91"/>
    </row>
    <row r="299" ht="15.75" customHeight="1">
      <c r="D299" s="91"/>
      <c r="G299" s="91"/>
    </row>
    <row r="300" ht="15.75" customHeight="1">
      <c r="D300" s="91"/>
      <c r="G300" s="91"/>
    </row>
    <row r="301" ht="15.75" customHeight="1">
      <c r="D301" s="91"/>
      <c r="G301" s="91"/>
    </row>
    <row r="302" ht="15.75" customHeight="1">
      <c r="D302" s="91"/>
      <c r="G302" s="91"/>
    </row>
    <row r="303" ht="15.75" customHeight="1">
      <c r="D303" s="91"/>
      <c r="G303" s="91"/>
    </row>
    <row r="304" ht="15.75" customHeight="1">
      <c r="D304" s="91"/>
      <c r="G304" s="91"/>
    </row>
    <row r="305" ht="15.75" customHeight="1">
      <c r="D305" s="91"/>
      <c r="G305" s="91"/>
    </row>
    <row r="306" ht="15.75" customHeight="1">
      <c r="D306" s="91"/>
      <c r="G306" s="91"/>
    </row>
    <row r="307" ht="15.75" customHeight="1">
      <c r="D307" s="91"/>
      <c r="G307" s="91"/>
    </row>
    <row r="308" ht="15.75" customHeight="1">
      <c r="D308" s="91"/>
      <c r="G308" s="91"/>
    </row>
    <row r="309" ht="15.75" customHeight="1">
      <c r="D309" s="91"/>
      <c r="G309" s="91"/>
    </row>
    <row r="310" ht="15.75" customHeight="1">
      <c r="D310" s="91"/>
      <c r="G310" s="91"/>
    </row>
    <row r="311" ht="15.75" customHeight="1">
      <c r="D311" s="91"/>
      <c r="G311" s="91"/>
    </row>
    <row r="312" ht="15.75" customHeight="1">
      <c r="D312" s="91"/>
      <c r="G312" s="91"/>
    </row>
    <row r="313" ht="15.75" customHeight="1">
      <c r="D313" s="91"/>
      <c r="G313" s="91"/>
    </row>
    <row r="314" ht="15.75" customHeight="1">
      <c r="D314" s="91"/>
      <c r="G314" s="91"/>
    </row>
    <row r="315" ht="15.75" customHeight="1">
      <c r="D315" s="91"/>
      <c r="G315" s="91"/>
    </row>
    <row r="316" ht="15.75" customHeight="1">
      <c r="D316" s="91"/>
      <c r="G316" s="91"/>
    </row>
    <row r="317" ht="15.75" customHeight="1">
      <c r="D317" s="91"/>
      <c r="G317" s="91"/>
    </row>
    <row r="318" ht="15.75" customHeight="1">
      <c r="D318" s="91"/>
      <c r="G318" s="91"/>
    </row>
    <row r="319" ht="15.75" customHeight="1">
      <c r="D319" s="91"/>
      <c r="G319" s="91"/>
    </row>
    <row r="320" ht="15.75" customHeight="1">
      <c r="D320" s="91"/>
      <c r="G320" s="91"/>
    </row>
    <row r="321" ht="15.75" customHeight="1">
      <c r="D321" s="91"/>
      <c r="G321" s="91"/>
    </row>
    <row r="322" ht="15.75" customHeight="1">
      <c r="D322" s="91"/>
      <c r="G322" s="91"/>
    </row>
    <row r="323" ht="15.75" customHeight="1">
      <c r="D323" s="91"/>
      <c r="G323" s="91"/>
    </row>
    <row r="324" ht="15.75" customHeight="1">
      <c r="D324" s="91"/>
      <c r="G324" s="91"/>
    </row>
    <row r="325" ht="15.75" customHeight="1">
      <c r="D325" s="91"/>
      <c r="G325" s="91"/>
    </row>
    <row r="326" ht="15.75" customHeight="1">
      <c r="D326" s="91"/>
      <c r="G326" s="91"/>
    </row>
    <row r="327" ht="15.75" customHeight="1">
      <c r="D327" s="91"/>
      <c r="G327" s="91"/>
    </row>
    <row r="328" ht="15.75" customHeight="1">
      <c r="D328" s="91"/>
      <c r="G328" s="91"/>
    </row>
    <row r="329" ht="15.75" customHeight="1">
      <c r="D329" s="91"/>
      <c r="G329" s="91"/>
    </row>
    <row r="330" ht="15.75" customHeight="1">
      <c r="D330" s="91"/>
      <c r="G330" s="91"/>
    </row>
    <row r="331" ht="15.75" customHeight="1">
      <c r="D331" s="91"/>
      <c r="G331" s="91"/>
    </row>
    <row r="332" ht="15.75" customHeight="1">
      <c r="D332" s="91"/>
      <c r="G332" s="91"/>
    </row>
    <row r="333" ht="15.75" customHeight="1">
      <c r="D333" s="91"/>
      <c r="G333" s="91"/>
    </row>
    <row r="334" ht="15.75" customHeight="1">
      <c r="D334" s="91"/>
      <c r="G334" s="91"/>
    </row>
    <row r="335" ht="15.75" customHeight="1">
      <c r="D335" s="91"/>
      <c r="G335" s="91"/>
    </row>
    <row r="336" ht="15.75" customHeight="1">
      <c r="D336" s="91"/>
      <c r="G336" s="91"/>
    </row>
    <row r="337" ht="15.75" customHeight="1">
      <c r="D337" s="91"/>
      <c r="G337" s="91"/>
    </row>
    <row r="338" ht="15.75" customHeight="1">
      <c r="D338" s="91"/>
      <c r="G338" s="91"/>
    </row>
    <row r="339" ht="15.75" customHeight="1">
      <c r="D339" s="91"/>
      <c r="G339" s="91"/>
    </row>
    <row r="340" ht="15.75" customHeight="1">
      <c r="D340" s="91"/>
      <c r="G340" s="91"/>
    </row>
    <row r="341" ht="15.75" customHeight="1">
      <c r="D341" s="91"/>
      <c r="G341" s="91"/>
    </row>
    <row r="342" ht="15.75" customHeight="1">
      <c r="D342" s="91"/>
      <c r="G342" s="91"/>
    </row>
    <row r="343" ht="15.75" customHeight="1">
      <c r="D343" s="91"/>
      <c r="G343" s="91"/>
    </row>
    <row r="344" ht="15.75" customHeight="1">
      <c r="D344" s="91"/>
      <c r="G344" s="91"/>
    </row>
    <row r="345" ht="15.75" customHeight="1">
      <c r="D345" s="91"/>
      <c r="G345" s="91"/>
    </row>
    <row r="346" ht="15.75" customHeight="1">
      <c r="D346" s="91"/>
      <c r="G346" s="91"/>
    </row>
    <row r="347" ht="15.75" customHeight="1">
      <c r="D347" s="91"/>
      <c r="G347" s="91"/>
    </row>
    <row r="348" ht="15.75" customHeight="1">
      <c r="D348" s="91"/>
      <c r="G348" s="91"/>
    </row>
    <row r="349" ht="15.75" customHeight="1">
      <c r="D349" s="91"/>
      <c r="G349" s="91"/>
    </row>
    <row r="350" ht="15.75" customHeight="1">
      <c r="D350" s="91"/>
      <c r="G350" s="91"/>
    </row>
    <row r="351" ht="15.75" customHeight="1">
      <c r="D351" s="91"/>
      <c r="G351" s="91"/>
    </row>
    <row r="352" ht="15.75" customHeight="1">
      <c r="D352" s="91"/>
      <c r="G352" s="91"/>
    </row>
    <row r="353" ht="15.75" customHeight="1">
      <c r="D353" s="91"/>
      <c r="G353" s="91"/>
    </row>
    <row r="354" ht="15.75" customHeight="1">
      <c r="D354" s="91"/>
      <c r="G354" s="91"/>
    </row>
    <row r="355" ht="15.75" customHeight="1">
      <c r="D355" s="91"/>
      <c r="G355" s="91"/>
    </row>
    <row r="356" ht="15.75" customHeight="1">
      <c r="D356" s="91"/>
      <c r="G356" s="91"/>
    </row>
    <row r="357" ht="15.75" customHeight="1">
      <c r="D357" s="91"/>
      <c r="G357" s="91"/>
    </row>
    <row r="358" ht="15.75" customHeight="1">
      <c r="D358" s="91"/>
      <c r="G358" s="91"/>
    </row>
    <row r="359" ht="15.75" customHeight="1">
      <c r="D359" s="91"/>
      <c r="G359" s="91"/>
    </row>
    <row r="360" ht="15.75" customHeight="1">
      <c r="D360" s="91"/>
      <c r="G360" s="91"/>
    </row>
    <row r="361" ht="15.75" customHeight="1">
      <c r="D361" s="91"/>
      <c r="G361" s="91"/>
    </row>
    <row r="362" ht="15.75" customHeight="1">
      <c r="D362" s="91"/>
      <c r="G362" s="91"/>
    </row>
    <row r="363" ht="15.75" customHeight="1">
      <c r="D363" s="91"/>
      <c r="G363" s="91"/>
    </row>
    <row r="364" ht="15.75" customHeight="1">
      <c r="D364" s="91"/>
      <c r="G364" s="91"/>
    </row>
    <row r="365" ht="15.75" customHeight="1">
      <c r="D365" s="91"/>
      <c r="G365" s="91"/>
    </row>
    <row r="366" ht="15.75" customHeight="1">
      <c r="D366" s="91"/>
      <c r="G366" s="91"/>
    </row>
    <row r="367" ht="15.75" customHeight="1">
      <c r="D367" s="91"/>
      <c r="G367" s="91"/>
    </row>
    <row r="368" ht="15.75" customHeight="1">
      <c r="D368" s="91"/>
      <c r="G368" s="91"/>
    </row>
    <row r="369" ht="15.75" customHeight="1">
      <c r="D369" s="91"/>
      <c r="G369" s="91"/>
    </row>
    <row r="370" ht="15.75" customHeight="1">
      <c r="D370" s="91"/>
      <c r="G370" s="91"/>
    </row>
    <row r="371" ht="15.75" customHeight="1">
      <c r="D371" s="91"/>
      <c r="G371" s="91"/>
    </row>
    <row r="372" ht="15.75" customHeight="1">
      <c r="D372" s="91"/>
      <c r="G372" s="91"/>
    </row>
    <row r="373" ht="15.75" customHeight="1">
      <c r="D373" s="91"/>
      <c r="G373" s="91"/>
    </row>
    <row r="374" ht="15.75" customHeight="1">
      <c r="D374" s="91"/>
      <c r="G374" s="91"/>
    </row>
    <row r="375" ht="15.75" customHeight="1">
      <c r="D375" s="91"/>
      <c r="G375" s="91"/>
    </row>
    <row r="376" ht="15.75" customHeight="1">
      <c r="D376" s="91"/>
      <c r="G376" s="91"/>
    </row>
    <row r="377" ht="15.75" customHeight="1">
      <c r="D377" s="91"/>
      <c r="G377" s="91"/>
    </row>
    <row r="378" ht="15.75" customHeight="1">
      <c r="D378" s="91"/>
      <c r="G378" s="91"/>
    </row>
    <row r="379" ht="15.75" customHeight="1">
      <c r="D379" s="91"/>
      <c r="G379" s="91"/>
    </row>
    <row r="380" ht="15.75" customHeight="1">
      <c r="D380" s="91"/>
      <c r="G380" s="91"/>
    </row>
    <row r="381" ht="15.75" customHeight="1">
      <c r="D381" s="91"/>
      <c r="G381" s="91"/>
    </row>
    <row r="382" ht="15.75" customHeight="1">
      <c r="D382" s="91"/>
      <c r="G382" s="91"/>
    </row>
    <row r="383" ht="15.75" customHeight="1">
      <c r="D383" s="91"/>
      <c r="G383" s="91"/>
    </row>
    <row r="384" ht="15.75" customHeight="1">
      <c r="D384" s="91"/>
      <c r="G384" s="91"/>
    </row>
    <row r="385" ht="15.75" customHeight="1">
      <c r="D385" s="91"/>
      <c r="G385" s="91"/>
    </row>
    <row r="386" ht="15.75" customHeight="1">
      <c r="D386" s="91"/>
      <c r="G386" s="91"/>
    </row>
    <row r="387" ht="15.75" customHeight="1">
      <c r="D387" s="91"/>
      <c r="G387" s="91"/>
    </row>
    <row r="388" ht="15.75" customHeight="1">
      <c r="D388" s="91"/>
      <c r="G388" s="91"/>
    </row>
    <row r="389" ht="15.75" customHeight="1">
      <c r="D389" s="91"/>
      <c r="G389" s="91"/>
    </row>
    <row r="390" ht="15.75" customHeight="1">
      <c r="D390" s="91"/>
      <c r="G390" s="91"/>
    </row>
    <row r="391" ht="15.75" customHeight="1">
      <c r="D391" s="91"/>
      <c r="G391" s="91"/>
    </row>
    <row r="392" ht="15.75" customHeight="1">
      <c r="D392" s="91"/>
      <c r="G392" s="91"/>
    </row>
    <row r="393" ht="15.75" customHeight="1">
      <c r="D393" s="91"/>
      <c r="G393" s="91"/>
    </row>
    <row r="394" ht="15.75" customHeight="1">
      <c r="D394" s="91"/>
      <c r="G394" s="91"/>
    </row>
    <row r="395" ht="15.75" customHeight="1">
      <c r="D395" s="91"/>
      <c r="G395" s="91"/>
    </row>
    <row r="396" ht="15.75" customHeight="1">
      <c r="D396" s="91"/>
      <c r="G396" s="91"/>
    </row>
    <row r="397" ht="15.75" customHeight="1">
      <c r="D397" s="91"/>
      <c r="G397" s="91"/>
    </row>
    <row r="398" ht="15.75" customHeight="1">
      <c r="D398" s="91"/>
      <c r="G398" s="91"/>
    </row>
    <row r="399" ht="15.75" customHeight="1">
      <c r="D399" s="91"/>
      <c r="G399" s="91"/>
    </row>
    <row r="400" ht="15.75" customHeight="1">
      <c r="D400" s="91"/>
      <c r="G400" s="91"/>
    </row>
    <row r="401" ht="15.75" customHeight="1">
      <c r="D401" s="91"/>
      <c r="G401" s="91"/>
    </row>
    <row r="402" ht="15.75" customHeight="1">
      <c r="D402" s="91"/>
      <c r="G402" s="91"/>
    </row>
    <row r="403" ht="15.75" customHeight="1">
      <c r="D403" s="91"/>
      <c r="G403" s="91"/>
    </row>
    <row r="404" ht="15.75" customHeight="1">
      <c r="D404" s="91"/>
      <c r="G404" s="91"/>
    </row>
    <row r="405" ht="15.75" customHeight="1">
      <c r="D405" s="91"/>
      <c r="G405" s="91"/>
    </row>
    <row r="406" ht="15.75" customHeight="1">
      <c r="D406" s="91"/>
      <c r="G406" s="91"/>
    </row>
    <row r="407" ht="15.75" customHeight="1">
      <c r="D407" s="91"/>
      <c r="G407" s="91"/>
    </row>
    <row r="408" ht="15.75" customHeight="1">
      <c r="D408" s="91"/>
      <c r="G408" s="91"/>
    </row>
    <row r="409" ht="15.75" customHeight="1">
      <c r="D409" s="91"/>
      <c r="G409" s="91"/>
    </row>
    <row r="410" ht="15.75" customHeight="1">
      <c r="D410" s="91"/>
      <c r="G410" s="91"/>
    </row>
    <row r="411" ht="15.75" customHeight="1">
      <c r="D411" s="91"/>
      <c r="G411" s="91"/>
    </row>
    <row r="412" ht="15.75" customHeight="1">
      <c r="D412" s="91"/>
      <c r="G412" s="91"/>
    </row>
    <row r="413" ht="15.75" customHeight="1">
      <c r="D413" s="91"/>
      <c r="G413" s="91"/>
    </row>
    <row r="414" ht="15.75" customHeight="1">
      <c r="D414" s="91"/>
      <c r="G414" s="91"/>
    </row>
    <row r="415" ht="15.75" customHeight="1">
      <c r="D415" s="91"/>
      <c r="G415" s="91"/>
    </row>
    <row r="416" ht="15.75" customHeight="1">
      <c r="D416" s="91"/>
      <c r="G416" s="91"/>
    </row>
    <row r="417" ht="15.75" customHeight="1">
      <c r="D417" s="91"/>
      <c r="G417" s="91"/>
    </row>
    <row r="418" ht="15.75" customHeight="1">
      <c r="D418" s="91"/>
      <c r="G418" s="91"/>
    </row>
    <row r="419" ht="15.75" customHeight="1">
      <c r="D419" s="91"/>
      <c r="G419" s="91"/>
    </row>
    <row r="420" ht="15.75" customHeight="1">
      <c r="D420" s="91"/>
      <c r="G420" s="91"/>
    </row>
    <row r="421" ht="15.75" customHeight="1">
      <c r="D421" s="91"/>
      <c r="G421" s="91"/>
    </row>
    <row r="422" ht="15.75" customHeight="1">
      <c r="D422" s="91"/>
      <c r="G422" s="91"/>
    </row>
    <row r="423" ht="15.75" customHeight="1">
      <c r="D423" s="91"/>
      <c r="G423" s="91"/>
    </row>
    <row r="424" ht="15.75" customHeight="1">
      <c r="D424" s="91"/>
      <c r="G424" s="91"/>
    </row>
    <row r="425" ht="15.75" customHeight="1">
      <c r="D425" s="91"/>
      <c r="G425" s="91"/>
    </row>
    <row r="426" ht="15.75" customHeight="1">
      <c r="D426" s="91"/>
      <c r="G426" s="91"/>
    </row>
    <row r="427" ht="15.75" customHeight="1">
      <c r="D427" s="91"/>
      <c r="G427" s="91"/>
    </row>
    <row r="428" ht="15.75" customHeight="1">
      <c r="D428" s="91"/>
      <c r="G428" s="91"/>
    </row>
    <row r="429" ht="15.75" customHeight="1">
      <c r="D429" s="91"/>
      <c r="G429" s="91"/>
    </row>
    <row r="430" ht="15.75" customHeight="1">
      <c r="D430" s="91"/>
      <c r="G430" s="91"/>
    </row>
    <row r="431" ht="15.75" customHeight="1">
      <c r="D431" s="91"/>
      <c r="G431" s="91"/>
    </row>
    <row r="432" ht="15.75" customHeight="1">
      <c r="D432" s="91"/>
      <c r="G432" s="91"/>
    </row>
    <row r="433" ht="15.75" customHeight="1">
      <c r="D433" s="91"/>
      <c r="G433" s="91"/>
    </row>
    <row r="434" ht="15.75" customHeight="1">
      <c r="D434" s="91"/>
      <c r="G434" s="91"/>
    </row>
    <row r="435" ht="15.75" customHeight="1">
      <c r="D435" s="91"/>
      <c r="G435" s="91"/>
    </row>
    <row r="436" ht="15.75" customHeight="1">
      <c r="D436" s="91"/>
      <c r="G436" s="91"/>
    </row>
    <row r="437" ht="15.75" customHeight="1">
      <c r="D437" s="91"/>
      <c r="G437" s="91"/>
    </row>
    <row r="438" ht="15.75" customHeight="1">
      <c r="D438" s="91"/>
      <c r="G438" s="91"/>
    </row>
    <row r="439" ht="15.75" customHeight="1">
      <c r="D439" s="91"/>
      <c r="G439" s="91"/>
    </row>
    <row r="440" ht="15.75" customHeight="1">
      <c r="D440" s="91"/>
      <c r="G440" s="91"/>
    </row>
    <row r="441" ht="15.75" customHeight="1">
      <c r="D441" s="91"/>
      <c r="G441" s="91"/>
    </row>
    <row r="442" ht="15.75" customHeight="1">
      <c r="D442" s="91"/>
      <c r="G442" s="91"/>
    </row>
    <row r="443" ht="15.75" customHeight="1">
      <c r="D443" s="91"/>
      <c r="G443" s="91"/>
    </row>
    <row r="444" ht="15.75" customHeight="1">
      <c r="D444" s="91"/>
      <c r="G444" s="91"/>
    </row>
    <row r="445" ht="15.75" customHeight="1">
      <c r="D445" s="91"/>
      <c r="G445" s="91"/>
    </row>
    <row r="446" ht="15.75" customHeight="1">
      <c r="D446" s="91"/>
      <c r="G446" s="91"/>
    </row>
    <row r="447" ht="15.75" customHeight="1">
      <c r="D447" s="91"/>
      <c r="G447" s="91"/>
    </row>
    <row r="448" ht="15.75" customHeight="1">
      <c r="D448" s="91"/>
      <c r="G448" s="91"/>
    </row>
    <row r="449" ht="15.75" customHeight="1">
      <c r="D449" s="91"/>
      <c r="G449" s="91"/>
    </row>
    <row r="450" ht="15.75" customHeight="1">
      <c r="D450" s="91"/>
      <c r="G450" s="91"/>
    </row>
    <row r="451" ht="15.75" customHeight="1">
      <c r="D451" s="91"/>
      <c r="G451" s="91"/>
    </row>
    <row r="452" ht="15.75" customHeight="1">
      <c r="D452" s="91"/>
      <c r="G452" s="91"/>
    </row>
    <row r="453" ht="15.75" customHeight="1">
      <c r="D453" s="91"/>
      <c r="G453" s="91"/>
    </row>
    <row r="454" ht="15.75" customHeight="1">
      <c r="D454" s="91"/>
      <c r="G454" s="91"/>
    </row>
    <row r="455" ht="15.75" customHeight="1">
      <c r="D455" s="91"/>
      <c r="G455" s="91"/>
    </row>
    <row r="456" ht="15.75" customHeight="1">
      <c r="D456" s="91"/>
      <c r="G456" s="91"/>
    </row>
    <row r="457" ht="15.75" customHeight="1">
      <c r="D457" s="91"/>
      <c r="G457" s="91"/>
    </row>
    <row r="458" ht="15.75" customHeight="1">
      <c r="D458" s="91"/>
      <c r="G458" s="91"/>
    </row>
    <row r="459" ht="15.75" customHeight="1">
      <c r="D459" s="91"/>
      <c r="G459" s="91"/>
    </row>
    <row r="460" ht="15.75" customHeight="1">
      <c r="D460" s="91"/>
      <c r="G460" s="91"/>
    </row>
    <row r="461" ht="15.75" customHeight="1">
      <c r="D461" s="91"/>
      <c r="G461" s="91"/>
    </row>
    <row r="462" ht="15.75" customHeight="1">
      <c r="D462" s="91"/>
      <c r="G462" s="91"/>
    </row>
    <row r="463" ht="15.75" customHeight="1">
      <c r="D463" s="91"/>
      <c r="G463" s="91"/>
    </row>
    <row r="464" ht="15.75" customHeight="1">
      <c r="D464" s="91"/>
      <c r="G464" s="91"/>
    </row>
    <row r="465" ht="15.75" customHeight="1">
      <c r="D465" s="91"/>
      <c r="G465" s="91"/>
    </row>
    <row r="466" ht="15.75" customHeight="1">
      <c r="D466" s="91"/>
      <c r="G466" s="91"/>
    </row>
    <row r="467" ht="15.75" customHeight="1">
      <c r="D467" s="91"/>
      <c r="G467" s="91"/>
    </row>
    <row r="468" ht="15.75" customHeight="1">
      <c r="D468" s="91"/>
      <c r="G468" s="91"/>
    </row>
    <row r="469" ht="15.75" customHeight="1">
      <c r="D469" s="91"/>
      <c r="G469" s="91"/>
    </row>
    <row r="470" ht="15.75" customHeight="1">
      <c r="D470" s="91"/>
      <c r="G470" s="91"/>
    </row>
    <row r="471" ht="15.75" customHeight="1">
      <c r="D471" s="91"/>
      <c r="G471" s="91"/>
    </row>
    <row r="472" ht="15.75" customHeight="1">
      <c r="D472" s="91"/>
      <c r="G472" s="91"/>
    </row>
    <row r="473" ht="15.75" customHeight="1">
      <c r="D473" s="91"/>
      <c r="G473" s="91"/>
    </row>
    <row r="474" ht="15.75" customHeight="1">
      <c r="D474" s="91"/>
      <c r="G474" s="91"/>
    </row>
    <row r="475" ht="15.75" customHeight="1">
      <c r="D475" s="91"/>
      <c r="G475" s="91"/>
    </row>
    <row r="476" ht="15.75" customHeight="1">
      <c r="D476" s="91"/>
      <c r="G476" s="91"/>
    </row>
    <row r="477" ht="15.75" customHeight="1">
      <c r="D477" s="91"/>
      <c r="G477" s="91"/>
    </row>
    <row r="478" ht="15.75" customHeight="1">
      <c r="D478" s="91"/>
      <c r="G478" s="91"/>
    </row>
    <row r="479" ht="15.75" customHeight="1">
      <c r="D479" s="91"/>
      <c r="G479" s="91"/>
    </row>
    <row r="480" ht="15.75" customHeight="1">
      <c r="D480" s="91"/>
      <c r="G480" s="91"/>
    </row>
    <row r="481" ht="15.75" customHeight="1">
      <c r="D481" s="91"/>
      <c r="G481" s="91"/>
    </row>
    <row r="482" ht="15.75" customHeight="1">
      <c r="D482" s="91"/>
      <c r="G482" s="91"/>
    </row>
    <row r="483" ht="15.75" customHeight="1">
      <c r="D483" s="91"/>
      <c r="G483" s="91"/>
    </row>
    <row r="484" ht="15.75" customHeight="1">
      <c r="D484" s="91"/>
      <c r="G484" s="91"/>
    </row>
    <row r="485" ht="15.75" customHeight="1">
      <c r="D485" s="91"/>
      <c r="G485" s="91"/>
    </row>
    <row r="486" ht="15.75" customHeight="1">
      <c r="D486" s="91"/>
      <c r="G486" s="91"/>
    </row>
    <row r="487" ht="15.75" customHeight="1">
      <c r="D487" s="91"/>
      <c r="G487" s="91"/>
    </row>
    <row r="488" ht="15.75" customHeight="1">
      <c r="D488" s="91"/>
      <c r="G488" s="91"/>
    </row>
    <row r="489" ht="15.75" customHeight="1">
      <c r="D489" s="91"/>
      <c r="G489" s="91"/>
    </row>
    <row r="490" ht="15.75" customHeight="1">
      <c r="D490" s="91"/>
      <c r="G490" s="91"/>
    </row>
    <row r="491" ht="15.75" customHeight="1">
      <c r="D491" s="91"/>
      <c r="G491" s="91"/>
    </row>
    <row r="492" ht="15.75" customHeight="1">
      <c r="D492" s="91"/>
      <c r="G492" s="91"/>
    </row>
    <row r="493" ht="15.75" customHeight="1">
      <c r="D493" s="91"/>
      <c r="G493" s="91"/>
    </row>
    <row r="494" ht="15.75" customHeight="1">
      <c r="D494" s="91"/>
      <c r="G494" s="91"/>
    </row>
    <row r="495" ht="15.75" customHeight="1">
      <c r="D495" s="91"/>
      <c r="G495" s="91"/>
    </row>
    <row r="496" ht="15.75" customHeight="1">
      <c r="D496" s="91"/>
      <c r="G496" s="91"/>
    </row>
    <row r="497" ht="15.75" customHeight="1">
      <c r="D497" s="91"/>
      <c r="G497" s="91"/>
    </row>
    <row r="498" ht="15.75" customHeight="1">
      <c r="D498" s="91"/>
      <c r="G498" s="91"/>
    </row>
    <row r="499" ht="15.75" customHeight="1">
      <c r="D499" s="91"/>
      <c r="G499" s="91"/>
    </row>
    <row r="500" ht="15.75" customHeight="1">
      <c r="D500" s="91"/>
      <c r="G500" s="91"/>
    </row>
    <row r="501" ht="15.75" customHeight="1">
      <c r="D501" s="91"/>
      <c r="G501" s="91"/>
    </row>
    <row r="502" ht="15.75" customHeight="1">
      <c r="D502" s="91"/>
      <c r="G502" s="91"/>
    </row>
    <row r="503" ht="15.75" customHeight="1">
      <c r="D503" s="91"/>
      <c r="G503" s="91"/>
    </row>
    <row r="504" ht="15.75" customHeight="1">
      <c r="D504" s="91"/>
      <c r="G504" s="91"/>
    </row>
    <row r="505" ht="15.75" customHeight="1">
      <c r="D505" s="91"/>
      <c r="G505" s="91"/>
    </row>
    <row r="506" ht="15.75" customHeight="1">
      <c r="D506" s="91"/>
      <c r="G506" s="91"/>
    </row>
    <row r="507" ht="15.75" customHeight="1">
      <c r="D507" s="91"/>
      <c r="G507" s="91"/>
    </row>
    <row r="508" ht="15.75" customHeight="1">
      <c r="D508" s="91"/>
      <c r="G508" s="91"/>
    </row>
    <row r="509" ht="15.75" customHeight="1">
      <c r="D509" s="91"/>
      <c r="G509" s="91"/>
    </row>
    <row r="510" ht="15.75" customHeight="1">
      <c r="D510" s="91"/>
      <c r="G510" s="91"/>
    </row>
    <row r="511" ht="15.75" customHeight="1">
      <c r="D511" s="91"/>
      <c r="G511" s="91"/>
    </row>
    <row r="512" ht="15.75" customHeight="1">
      <c r="D512" s="91"/>
      <c r="G512" s="91"/>
    </row>
    <row r="513" ht="15.75" customHeight="1">
      <c r="D513" s="91"/>
      <c r="G513" s="91"/>
    </row>
    <row r="514" ht="15.75" customHeight="1">
      <c r="D514" s="91"/>
      <c r="G514" s="91"/>
    </row>
    <row r="515" ht="15.75" customHeight="1">
      <c r="D515" s="91"/>
      <c r="G515" s="91"/>
    </row>
    <row r="516" ht="15.75" customHeight="1">
      <c r="D516" s="91"/>
      <c r="G516" s="91"/>
    </row>
    <row r="517" ht="15.75" customHeight="1">
      <c r="D517" s="91"/>
      <c r="G517" s="91"/>
    </row>
    <row r="518" ht="15.75" customHeight="1">
      <c r="D518" s="91"/>
      <c r="G518" s="91"/>
    </row>
    <row r="519" ht="15.75" customHeight="1">
      <c r="D519" s="91"/>
      <c r="G519" s="91"/>
    </row>
    <row r="520" ht="15.75" customHeight="1">
      <c r="D520" s="91"/>
      <c r="G520" s="91"/>
    </row>
    <row r="521" ht="15.75" customHeight="1">
      <c r="D521" s="91"/>
      <c r="G521" s="91"/>
    </row>
    <row r="522" ht="15.75" customHeight="1">
      <c r="D522" s="91"/>
      <c r="G522" s="91"/>
    </row>
    <row r="523" ht="15.75" customHeight="1">
      <c r="D523" s="91"/>
      <c r="G523" s="91"/>
    </row>
    <row r="524" ht="15.75" customHeight="1">
      <c r="D524" s="91"/>
      <c r="G524" s="91"/>
    </row>
    <row r="525" ht="15.75" customHeight="1">
      <c r="D525" s="91"/>
      <c r="G525" s="91"/>
    </row>
    <row r="526" ht="15.75" customHeight="1">
      <c r="D526" s="91"/>
      <c r="G526" s="91"/>
    </row>
    <row r="527" ht="15.75" customHeight="1">
      <c r="D527" s="91"/>
      <c r="G527" s="91"/>
    </row>
    <row r="528" ht="15.75" customHeight="1">
      <c r="D528" s="91"/>
      <c r="G528" s="91"/>
    </row>
    <row r="529" ht="15.75" customHeight="1">
      <c r="D529" s="91"/>
      <c r="G529" s="91"/>
    </row>
    <row r="530" ht="15.75" customHeight="1">
      <c r="D530" s="91"/>
      <c r="G530" s="91"/>
    </row>
    <row r="531" ht="15.75" customHeight="1">
      <c r="D531" s="91"/>
      <c r="G531" s="91"/>
    </row>
    <row r="532" ht="15.75" customHeight="1">
      <c r="D532" s="91"/>
      <c r="G532" s="91"/>
    </row>
    <row r="533" ht="15.75" customHeight="1">
      <c r="D533" s="91"/>
      <c r="G533" s="91"/>
    </row>
    <row r="534" ht="15.75" customHeight="1">
      <c r="D534" s="91"/>
      <c r="G534" s="91"/>
    </row>
    <row r="535" ht="15.75" customHeight="1">
      <c r="D535" s="91"/>
      <c r="G535" s="91"/>
    </row>
    <row r="536" ht="15.75" customHeight="1">
      <c r="D536" s="91"/>
      <c r="G536" s="91"/>
    </row>
    <row r="537" ht="15.75" customHeight="1">
      <c r="D537" s="91"/>
      <c r="G537" s="91"/>
    </row>
    <row r="538" ht="15.75" customHeight="1">
      <c r="D538" s="91"/>
      <c r="G538" s="91"/>
    </row>
    <row r="539" ht="15.75" customHeight="1">
      <c r="D539" s="91"/>
      <c r="G539" s="91"/>
    </row>
    <row r="540" ht="15.75" customHeight="1">
      <c r="D540" s="91"/>
      <c r="G540" s="91"/>
    </row>
    <row r="541" ht="15.75" customHeight="1">
      <c r="D541" s="91"/>
      <c r="G541" s="91"/>
    </row>
    <row r="542" ht="15.75" customHeight="1">
      <c r="D542" s="91"/>
      <c r="G542" s="91"/>
    </row>
    <row r="543" ht="15.75" customHeight="1">
      <c r="D543" s="91"/>
      <c r="G543" s="91"/>
    </row>
    <row r="544" ht="15.75" customHeight="1">
      <c r="D544" s="91"/>
      <c r="G544" s="91"/>
    </row>
    <row r="545" ht="15.75" customHeight="1">
      <c r="D545" s="91"/>
      <c r="G545" s="91"/>
    </row>
    <row r="546" ht="15.75" customHeight="1">
      <c r="D546" s="91"/>
      <c r="G546" s="91"/>
    </row>
    <row r="547" ht="15.75" customHeight="1">
      <c r="D547" s="91"/>
      <c r="G547" s="91"/>
    </row>
    <row r="548" ht="15.75" customHeight="1">
      <c r="D548" s="91"/>
      <c r="G548" s="91"/>
    </row>
    <row r="549" ht="15.75" customHeight="1">
      <c r="D549" s="91"/>
      <c r="G549" s="91"/>
    </row>
    <row r="550" ht="15.75" customHeight="1">
      <c r="D550" s="91"/>
      <c r="G550" s="91"/>
    </row>
    <row r="551" ht="15.75" customHeight="1">
      <c r="D551" s="91"/>
      <c r="G551" s="91"/>
    </row>
    <row r="552" ht="15.75" customHeight="1">
      <c r="D552" s="91"/>
      <c r="G552" s="91"/>
    </row>
    <row r="553" ht="15.75" customHeight="1">
      <c r="D553" s="91"/>
      <c r="G553" s="91"/>
    </row>
    <row r="554" ht="15.75" customHeight="1">
      <c r="D554" s="91"/>
      <c r="G554" s="91"/>
    </row>
    <row r="555" ht="15.75" customHeight="1">
      <c r="D555" s="91"/>
      <c r="G555" s="91"/>
    </row>
    <row r="556" ht="15.75" customHeight="1">
      <c r="D556" s="91"/>
      <c r="G556" s="91"/>
    </row>
    <row r="557" ht="15.75" customHeight="1">
      <c r="D557" s="91"/>
      <c r="G557" s="91"/>
    </row>
    <row r="558" ht="15.75" customHeight="1">
      <c r="D558" s="91"/>
      <c r="G558" s="91"/>
    </row>
    <row r="559" ht="15.75" customHeight="1">
      <c r="D559" s="91"/>
      <c r="G559" s="91"/>
    </row>
    <row r="560" ht="15.75" customHeight="1">
      <c r="D560" s="91"/>
      <c r="G560" s="91"/>
    </row>
    <row r="561" ht="15.75" customHeight="1">
      <c r="D561" s="91"/>
      <c r="G561" s="91"/>
    </row>
    <row r="562" ht="15.75" customHeight="1">
      <c r="D562" s="91"/>
      <c r="G562" s="91"/>
    </row>
    <row r="563" ht="15.75" customHeight="1">
      <c r="D563" s="91"/>
      <c r="G563" s="91"/>
    </row>
    <row r="564" ht="15.75" customHeight="1">
      <c r="D564" s="91"/>
      <c r="G564" s="91"/>
    </row>
    <row r="565" ht="15.75" customHeight="1">
      <c r="D565" s="91"/>
      <c r="G565" s="91"/>
    </row>
    <row r="566" ht="15.75" customHeight="1">
      <c r="D566" s="91"/>
      <c r="G566" s="91"/>
    </row>
    <row r="567" ht="15.75" customHeight="1">
      <c r="D567" s="91"/>
      <c r="G567" s="91"/>
    </row>
    <row r="568" ht="15.75" customHeight="1">
      <c r="D568" s="91"/>
      <c r="G568" s="91"/>
    </row>
    <row r="569" ht="15.75" customHeight="1">
      <c r="D569" s="91"/>
      <c r="G569" s="91"/>
    </row>
    <row r="570" ht="15.75" customHeight="1">
      <c r="D570" s="91"/>
      <c r="G570" s="91"/>
    </row>
    <row r="571" ht="15.75" customHeight="1">
      <c r="D571" s="91"/>
      <c r="G571" s="91"/>
    </row>
    <row r="572" ht="15.75" customHeight="1">
      <c r="D572" s="91"/>
      <c r="G572" s="91"/>
    </row>
    <row r="573" ht="15.75" customHeight="1">
      <c r="D573" s="91"/>
      <c r="G573" s="91"/>
    </row>
    <row r="574" ht="15.75" customHeight="1">
      <c r="D574" s="91"/>
      <c r="G574" s="91"/>
    </row>
    <row r="575" ht="15.75" customHeight="1">
      <c r="D575" s="91"/>
      <c r="G575" s="91"/>
    </row>
    <row r="576" ht="15.75" customHeight="1">
      <c r="D576" s="91"/>
      <c r="G576" s="91"/>
    </row>
    <row r="577" ht="15.75" customHeight="1">
      <c r="D577" s="91"/>
      <c r="G577" s="91"/>
    </row>
    <row r="578" ht="15.75" customHeight="1">
      <c r="D578" s="91"/>
      <c r="G578" s="91"/>
    </row>
    <row r="579" ht="15.75" customHeight="1">
      <c r="D579" s="91"/>
      <c r="G579" s="91"/>
    </row>
    <row r="580" ht="15.75" customHeight="1">
      <c r="D580" s="91"/>
      <c r="G580" s="91"/>
    </row>
    <row r="581" ht="15.75" customHeight="1">
      <c r="D581" s="91"/>
      <c r="G581" s="91"/>
    </row>
    <row r="582" ht="15.75" customHeight="1">
      <c r="D582" s="91"/>
      <c r="G582" s="91"/>
    </row>
    <row r="583" ht="15.75" customHeight="1">
      <c r="D583" s="91"/>
      <c r="G583" s="91"/>
    </row>
    <row r="584" ht="15.75" customHeight="1">
      <c r="D584" s="91"/>
      <c r="G584" s="91"/>
    </row>
    <row r="585" ht="15.75" customHeight="1">
      <c r="D585" s="91"/>
      <c r="G585" s="91"/>
    </row>
    <row r="586" ht="15.75" customHeight="1">
      <c r="D586" s="91"/>
      <c r="G586" s="91"/>
    </row>
    <row r="587" ht="15.75" customHeight="1">
      <c r="D587" s="91"/>
      <c r="G587" s="91"/>
    </row>
    <row r="588" ht="15.75" customHeight="1">
      <c r="D588" s="91"/>
      <c r="G588" s="91"/>
    </row>
    <row r="589" ht="15.75" customHeight="1">
      <c r="D589" s="91"/>
      <c r="G589" s="91"/>
    </row>
    <row r="590" ht="15.75" customHeight="1">
      <c r="D590" s="91"/>
      <c r="G590" s="91"/>
    </row>
    <row r="591" ht="15.75" customHeight="1">
      <c r="D591" s="91"/>
      <c r="G591" s="91"/>
    </row>
    <row r="592" ht="15.75" customHeight="1">
      <c r="D592" s="91"/>
      <c r="G592" s="91"/>
    </row>
    <row r="593" ht="15.75" customHeight="1">
      <c r="D593" s="91"/>
      <c r="G593" s="91"/>
    </row>
    <row r="594" ht="15.75" customHeight="1">
      <c r="D594" s="91"/>
      <c r="G594" s="91"/>
    </row>
    <row r="595" ht="15.75" customHeight="1">
      <c r="D595" s="91"/>
      <c r="G595" s="91"/>
    </row>
    <row r="596" ht="15.75" customHeight="1">
      <c r="D596" s="91"/>
      <c r="G596" s="91"/>
    </row>
    <row r="597" ht="15.75" customHeight="1">
      <c r="D597" s="91"/>
      <c r="G597" s="91"/>
    </row>
    <row r="598" ht="15.75" customHeight="1">
      <c r="D598" s="91"/>
      <c r="G598" s="91"/>
    </row>
    <row r="599" ht="15.75" customHeight="1">
      <c r="D599" s="91"/>
      <c r="G599" s="91"/>
    </row>
    <row r="600" ht="15.75" customHeight="1">
      <c r="D600" s="91"/>
      <c r="G600" s="91"/>
    </row>
    <row r="601" ht="15.75" customHeight="1">
      <c r="D601" s="91"/>
      <c r="G601" s="91"/>
    </row>
    <row r="602" ht="15.75" customHeight="1">
      <c r="D602" s="91"/>
      <c r="G602" s="91"/>
    </row>
    <row r="603" ht="15.75" customHeight="1">
      <c r="D603" s="91"/>
      <c r="G603" s="91"/>
    </row>
    <row r="604" ht="15.75" customHeight="1">
      <c r="D604" s="91"/>
      <c r="G604" s="91"/>
    </row>
    <row r="605" ht="15.75" customHeight="1">
      <c r="D605" s="91"/>
      <c r="G605" s="91"/>
    </row>
    <row r="606" ht="15.75" customHeight="1">
      <c r="D606" s="91"/>
      <c r="G606" s="91"/>
    </row>
    <row r="607" ht="15.75" customHeight="1">
      <c r="D607" s="91"/>
      <c r="G607" s="91"/>
    </row>
    <row r="608" ht="15.75" customHeight="1">
      <c r="D608" s="91"/>
      <c r="G608" s="91"/>
    </row>
    <row r="609" ht="15.75" customHeight="1">
      <c r="D609" s="91"/>
      <c r="G609" s="91"/>
    </row>
    <row r="610" ht="15.75" customHeight="1">
      <c r="D610" s="91"/>
      <c r="G610" s="91"/>
    </row>
    <row r="611" ht="15.75" customHeight="1">
      <c r="D611" s="91"/>
      <c r="G611" s="91"/>
    </row>
    <row r="612" ht="15.75" customHeight="1">
      <c r="D612" s="91"/>
      <c r="G612" s="91"/>
    </row>
    <row r="613" ht="15.75" customHeight="1">
      <c r="D613" s="91"/>
      <c r="G613" s="91"/>
    </row>
    <row r="614" ht="15.75" customHeight="1">
      <c r="D614" s="91"/>
      <c r="G614" s="91"/>
    </row>
    <row r="615" ht="15.75" customHeight="1">
      <c r="D615" s="91"/>
      <c r="G615" s="91"/>
    </row>
    <row r="616" ht="15.75" customHeight="1">
      <c r="D616" s="91"/>
      <c r="G616" s="91"/>
    </row>
    <row r="617" ht="15.75" customHeight="1">
      <c r="D617" s="91"/>
      <c r="G617" s="91"/>
    </row>
    <row r="618" ht="15.75" customHeight="1">
      <c r="D618" s="91"/>
      <c r="G618" s="91"/>
    </row>
    <row r="619" ht="15.75" customHeight="1">
      <c r="D619" s="91"/>
      <c r="G619" s="91"/>
    </row>
    <row r="620" ht="15.75" customHeight="1">
      <c r="D620" s="91"/>
      <c r="G620" s="91"/>
    </row>
    <row r="621" ht="15.75" customHeight="1">
      <c r="D621" s="91"/>
      <c r="G621" s="91"/>
    </row>
    <row r="622" ht="15.75" customHeight="1">
      <c r="D622" s="91"/>
      <c r="G622" s="91"/>
    </row>
    <row r="623" ht="15.75" customHeight="1">
      <c r="D623" s="91"/>
      <c r="G623" s="91"/>
    </row>
    <row r="624" ht="15.75" customHeight="1">
      <c r="D624" s="91"/>
      <c r="G624" s="91"/>
    </row>
    <row r="625" ht="15.75" customHeight="1">
      <c r="D625" s="91"/>
      <c r="G625" s="91"/>
    </row>
    <row r="626" ht="15.75" customHeight="1">
      <c r="D626" s="91"/>
      <c r="G626" s="91"/>
    </row>
    <row r="627" ht="15.75" customHeight="1">
      <c r="D627" s="91"/>
      <c r="G627" s="91"/>
    </row>
    <row r="628" ht="15.75" customHeight="1">
      <c r="D628" s="91"/>
      <c r="G628" s="91"/>
    </row>
    <row r="629" ht="15.75" customHeight="1">
      <c r="D629" s="91"/>
      <c r="G629" s="91"/>
    </row>
    <row r="630" ht="15.75" customHeight="1">
      <c r="D630" s="91"/>
      <c r="G630" s="91"/>
    </row>
    <row r="631" ht="15.75" customHeight="1">
      <c r="D631" s="91"/>
      <c r="G631" s="91"/>
    </row>
    <row r="632" ht="15.75" customHeight="1">
      <c r="D632" s="91"/>
      <c r="G632" s="91"/>
    </row>
    <row r="633" ht="15.75" customHeight="1">
      <c r="D633" s="91"/>
      <c r="G633" s="91"/>
    </row>
    <row r="634" ht="15.75" customHeight="1">
      <c r="D634" s="91"/>
      <c r="G634" s="91"/>
    </row>
    <row r="635" ht="15.75" customHeight="1">
      <c r="D635" s="91"/>
      <c r="G635" s="91"/>
    </row>
    <row r="636" ht="15.75" customHeight="1">
      <c r="D636" s="91"/>
      <c r="G636" s="91"/>
    </row>
    <row r="637" ht="15.75" customHeight="1">
      <c r="D637" s="91"/>
      <c r="G637" s="91"/>
    </row>
    <row r="638" ht="15.75" customHeight="1">
      <c r="D638" s="91"/>
      <c r="G638" s="91"/>
    </row>
    <row r="639" ht="15.75" customHeight="1">
      <c r="D639" s="91"/>
      <c r="G639" s="91"/>
    </row>
    <row r="640" ht="15.75" customHeight="1">
      <c r="D640" s="91"/>
      <c r="G640" s="91"/>
    </row>
    <row r="641" ht="15.75" customHeight="1">
      <c r="D641" s="91"/>
      <c r="G641" s="91"/>
    </row>
    <row r="642" ht="15.75" customHeight="1">
      <c r="D642" s="91"/>
      <c r="G642" s="91"/>
    </row>
    <row r="643" ht="15.75" customHeight="1">
      <c r="D643" s="91"/>
      <c r="G643" s="91"/>
    </row>
    <row r="644" ht="15.75" customHeight="1">
      <c r="D644" s="91"/>
      <c r="G644" s="91"/>
    </row>
    <row r="645" ht="15.75" customHeight="1">
      <c r="D645" s="91"/>
      <c r="G645" s="91"/>
    </row>
    <row r="646" ht="15.75" customHeight="1">
      <c r="D646" s="91"/>
      <c r="G646" s="91"/>
    </row>
    <row r="647" ht="15.75" customHeight="1">
      <c r="D647" s="91"/>
      <c r="G647" s="91"/>
    </row>
    <row r="648" ht="15.75" customHeight="1">
      <c r="D648" s="91"/>
      <c r="G648" s="91"/>
    </row>
    <row r="649" ht="15.75" customHeight="1">
      <c r="D649" s="91"/>
      <c r="G649" s="91"/>
    </row>
    <row r="650" ht="15.75" customHeight="1">
      <c r="D650" s="91"/>
      <c r="G650" s="91"/>
    </row>
    <row r="651" ht="15.75" customHeight="1">
      <c r="D651" s="91"/>
      <c r="G651" s="91"/>
    </row>
    <row r="652" ht="15.75" customHeight="1">
      <c r="D652" s="91"/>
      <c r="G652" s="91"/>
    </row>
    <row r="653" ht="15.75" customHeight="1">
      <c r="D653" s="91"/>
      <c r="G653" s="91"/>
    </row>
    <row r="654" ht="15.75" customHeight="1">
      <c r="D654" s="91"/>
      <c r="G654" s="91"/>
    </row>
    <row r="655" ht="15.75" customHeight="1">
      <c r="D655" s="91"/>
      <c r="G655" s="91"/>
    </row>
    <row r="656" ht="15.75" customHeight="1">
      <c r="D656" s="91"/>
      <c r="G656" s="91"/>
    </row>
    <row r="657" ht="15.75" customHeight="1">
      <c r="D657" s="91"/>
      <c r="G657" s="91"/>
    </row>
    <row r="658" ht="15.75" customHeight="1">
      <c r="D658" s="91"/>
      <c r="G658" s="91"/>
    </row>
    <row r="659" ht="15.75" customHeight="1">
      <c r="D659" s="91"/>
      <c r="G659" s="91"/>
    </row>
    <row r="660" ht="15.75" customHeight="1">
      <c r="D660" s="91"/>
      <c r="G660" s="91"/>
    </row>
    <row r="661" ht="15.75" customHeight="1">
      <c r="D661" s="91"/>
      <c r="G661" s="91"/>
    </row>
    <row r="662" ht="15.75" customHeight="1">
      <c r="D662" s="91"/>
      <c r="G662" s="91"/>
    </row>
    <row r="663" ht="15.75" customHeight="1">
      <c r="D663" s="91"/>
      <c r="G663" s="91"/>
    </row>
    <row r="664" ht="15.75" customHeight="1">
      <c r="D664" s="91"/>
      <c r="G664" s="91"/>
    </row>
    <row r="665" ht="15.75" customHeight="1">
      <c r="D665" s="91"/>
      <c r="G665" s="91"/>
    </row>
    <row r="666" ht="15.75" customHeight="1">
      <c r="D666" s="91"/>
      <c r="G666" s="91"/>
    </row>
    <row r="667" ht="15.75" customHeight="1">
      <c r="D667" s="91"/>
      <c r="G667" s="91"/>
    </row>
    <row r="668" ht="15.75" customHeight="1">
      <c r="D668" s="91"/>
      <c r="G668" s="91"/>
    </row>
    <row r="669" ht="15.75" customHeight="1">
      <c r="D669" s="91"/>
      <c r="G669" s="91"/>
    </row>
    <row r="670" ht="15.75" customHeight="1">
      <c r="D670" s="91"/>
      <c r="G670" s="91"/>
    </row>
    <row r="671" ht="15.75" customHeight="1">
      <c r="D671" s="91"/>
      <c r="G671" s="91"/>
    </row>
    <row r="672" ht="15.75" customHeight="1">
      <c r="D672" s="91"/>
      <c r="G672" s="91"/>
    </row>
    <row r="673" ht="15.75" customHeight="1">
      <c r="D673" s="91"/>
      <c r="G673" s="91"/>
    </row>
    <row r="674" ht="15.75" customHeight="1">
      <c r="D674" s="91"/>
      <c r="G674" s="91"/>
    </row>
    <row r="675" ht="15.75" customHeight="1">
      <c r="D675" s="91"/>
      <c r="G675" s="91"/>
    </row>
    <row r="676" ht="15.75" customHeight="1">
      <c r="D676" s="91"/>
      <c r="G676" s="91"/>
    </row>
    <row r="677" ht="15.75" customHeight="1">
      <c r="D677" s="91"/>
      <c r="G677" s="91"/>
    </row>
    <row r="678" ht="15.75" customHeight="1">
      <c r="D678" s="91"/>
      <c r="G678" s="91"/>
    </row>
    <row r="679" ht="15.75" customHeight="1">
      <c r="D679" s="91"/>
      <c r="G679" s="91"/>
    </row>
    <row r="680" ht="15.75" customHeight="1">
      <c r="D680" s="91"/>
      <c r="G680" s="91"/>
    </row>
    <row r="681" ht="15.75" customHeight="1">
      <c r="D681" s="91"/>
      <c r="G681" s="91"/>
    </row>
    <row r="682" ht="15.75" customHeight="1">
      <c r="D682" s="91"/>
      <c r="G682" s="91"/>
    </row>
    <row r="683" ht="15.75" customHeight="1">
      <c r="D683" s="91"/>
      <c r="G683" s="91"/>
    </row>
    <row r="684" ht="15.75" customHeight="1">
      <c r="D684" s="91"/>
      <c r="G684" s="91"/>
    </row>
    <row r="685" ht="15.75" customHeight="1">
      <c r="D685" s="91"/>
      <c r="G685" s="91"/>
    </row>
    <row r="686" ht="15.75" customHeight="1">
      <c r="D686" s="91"/>
      <c r="G686" s="91"/>
    </row>
    <row r="687" ht="15.75" customHeight="1">
      <c r="D687" s="91"/>
      <c r="G687" s="91"/>
    </row>
    <row r="688" ht="15.75" customHeight="1">
      <c r="D688" s="91"/>
      <c r="G688" s="91"/>
    </row>
    <row r="689" ht="15.75" customHeight="1">
      <c r="D689" s="91"/>
      <c r="G689" s="91"/>
    </row>
    <row r="690" ht="15.75" customHeight="1">
      <c r="D690" s="91"/>
      <c r="G690" s="91"/>
    </row>
    <row r="691" ht="15.75" customHeight="1">
      <c r="D691" s="91"/>
      <c r="G691" s="91"/>
    </row>
    <row r="692" ht="15.75" customHeight="1">
      <c r="D692" s="91"/>
      <c r="G692" s="91"/>
    </row>
    <row r="693" ht="15.75" customHeight="1">
      <c r="D693" s="91"/>
      <c r="G693" s="91"/>
    </row>
    <row r="694" ht="15.75" customHeight="1">
      <c r="D694" s="91"/>
      <c r="G694" s="91"/>
    </row>
    <row r="695" ht="15.75" customHeight="1">
      <c r="D695" s="91"/>
      <c r="G695" s="91"/>
    </row>
    <row r="696" ht="15.75" customHeight="1">
      <c r="D696" s="91"/>
      <c r="G696" s="91"/>
    </row>
    <row r="697" ht="15.75" customHeight="1">
      <c r="D697" s="91"/>
      <c r="G697" s="91"/>
    </row>
    <row r="698" ht="15.75" customHeight="1">
      <c r="D698" s="91"/>
      <c r="G698" s="91"/>
    </row>
    <row r="699" ht="15.75" customHeight="1">
      <c r="D699" s="91"/>
      <c r="G699" s="91"/>
    </row>
    <row r="700" ht="15.75" customHeight="1">
      <c r="D700" s="91"/>
      <c r="G700" s="91"/>
    </row>
    <row r="701" ht="15.75" customHeight="1">
      <c r="D701" s="91"/>
      <c r="G701" s="91"/>
    </row>
    <row r="702" ht="15.75" customHeight="1">
      <c r="D702" s="91"/>
      <c r="G702" s="91"/>
    </row>
    <row r="703" ht="15.75" customHeight="1">
      <c r="D703" s="91"/>
      <c r="G703" s="91"/>
    </row>
    <row r="704" ht="15.75" customHeight="1">
      <c r="D704" s="91"/>
      <c r="G704" s="91"/>
    </row>
    <row r="705" ht="15.75" customHeight="1">
      <c r="D705" s="91"/>
      <c r="G705" s="91"/>
    </row>
    <row r="706" ht="15.75" customHeight="1">
      <c r="D706" s="91"/>
      <c r="G706" s="91"/>
    </row>
    <row r="707" ht="15.75" customHeight="1">
      <c r="D707" s="91"/>
      <c r="G707" s="91"/>
    </row>
    <row r="708" ht="15.75" customHeight="1">
      <c r="D708" s="91"/>
      <c r="G708" s="91"/>
    </row>
    <row r="709" ht="15.75" customHeight="1">
      <c r="D709" s="91"/>
      <c r="G709" s="91"/>
    </row>
    <row r="710" ht="15.75" customHeight="1">
      <c r="D710" s="91"/>
      <c r="G710" s="91"/>
    </row>
    <row r="711" ht="15.75" customHeight="1">
      <c r="D711" s="91"/>
      <c r="G711" s="91"/>
    </row>
    <row r="712" ht="15.75" customHeight="1">
      <c r="D712" s="91"/>
      <c r="G712" s="91"/>
    </row>
    <row r="713" ht="15.75" customHeight="1">
      <c r="D713" s="91"/>
      <c r="G713" s="91"/>
    </row>
    <row r="714" ht="15.75" customHeight="1">
      <c r="D714" s="91"/>
      <c r="G714" s="91"/>
    </row>
    <row r="715" ht="15.75" customHeight="1">
      <c r="D715" s="91"/>
      <c r="G715" s="91"/>
    </row>
    <row r="716" ht="15.75" customHeight="1">
      <c r="D716" s="91"/>
      <c r="G716" s="91"/>
    </row>
    <row r="717" ht="15.75" customHeight="1">
      <c r="D717" s="91"/>
      <c r="G717" s="91"/>
    </row>
    <row r="718" ht="15.75" customHeight="1">
      <c r="D718" s="91"/>
      <c r="G718" s="91"/>
    </row>
    <row r="719" ht="15.75" customHeight="1">
      <c r="D719" s="91"/>
      <c r="G719" s="91"/>
    </row>
    <row r="720" ht="15.75" customHeight="1">
      <c r="D720" s="91"/>
      <c r="G720" s="91"/>
    </row>
    <row r="721" ht="15.75" customHeight="1">
      <c r="D721" s="91"/>
      <c r="G721" s="91"/>
    </row>
    <row r="722" ht="15.75" customHeight="1">
      <c r="D722" s="91"/>
      <c r="G722" s="91"/>
    </row>
    <row r="723" ht="15.75" customHeight="1">
      <c r="D723" s="91"/>
      <c r="G723" s="91"/>
    </row>
    <row r="724" ht="15.75" customHeight="1">
      <c r="D724" s="91"/>
      <c r="G724" s="91"/>
    </row>
    <row r="725" ht="15.75" customHeight="1">
      <c r="D725" s="91"/>
      <c r="G725" s="91"/>
    </row>
    <row r="726" ht="15.75" customHeight="1">
      <c r="D726" s="91"/>
      <c r="G726" s="91"/>
    </row>
    <row r="727" ht="15.75" customHeight="1">
      <c r="D727" s="91"/>
      <c r="G727" s="91"/>
    </row>
    <row r="728" ht="15.75" customHeight="1">
      <c r="D728" s="91"/>
      <c r="G728" s="91"/>
    </row>
    <row r="729" ht="15.75" customHeight="1">
      <c r="D729" s="91"/>
      <c r="G729" s="91"/>
    </row>
    <row r="730" ht="15.75" customHeight="1">
      <c r="D730" s="91"/>
      <c r="G730" s="91"/>
    </row>
    <row r="731" ht="15.75" customHeight="1">
      <c r="D731" s="91"/>
      <c r="G731" s="91"/>
    </row>
    <row r="732" ht="15.75" customHeight="1">
      <c r="D732" s="91"/>
      <c r="G732" s="91"/>
    </row>
    <row r="733" ht="15.75" customHeight="1">
      <c r="D733" s="91"/>
      <c r="G733" s="91"/>
    </row>
    <row r="734" ht="15.75" customHeight="1">
      <c r="D734" s="91"/>
      <c r="G734" s="91"/>
    </row>
    <row r="735" ht="15.75" customHeight="1">
      <c r="D735" s="91"/>
      <c r="G735" s="91"/>
    </row>
    <row r="736" ht="15.75" customHeight="1">
      <c r="D736" s="91"/>
      <c r="G736" s="91"/>
    </row>
    <row r="737" ht="15.75" customHeight="1">
      <c r="D737" s="91"/>
      <c r="G737" s="91"/>
    </row>
    <row r="738" ht="15.75" customHeight="1">
      <c r="D738" s="91"/>
      <c r="G738" s="91"/>
    </row>
    <row r="739" ht="15.75" customHeight="1">
      <c r="D739" s="91"/>
      <c r="G739" s="91"/>
    </row>
    <row r="740" ht="15.75" customHeight="1">
      <c r="D740" s="91"/>
      <c r="G740" s="91"/>
    </row>
    <row r="741" ht="15.75" customHeight="1">
      <c r="D741" s="91"/>
      <c r="G741" s="91"/>
    </row>
    <row r="742" ht="15.75" customHeight="1">
      <c r="D742" s="91"/>
      <c r="G742" s="91"/>
    </row>
    <row r="743" ht="15.75" customHeight="1">
      <c r="D743" s="91"/>
      <c r="G743" s="91"/>
    </row>
    <row r="744" ht="15.75" customHeight="1">
      <c r="D744" s="91"/>
      <c r="G744" s="91"/>
    </row>
    <row r="745" ht="15.75" customHeight="1">
      <c r="D745" s="91"/>
      <c r="G745" s="91"/>
    </row>
    <row r="746" ht="15.75" customHeight="1">
      <c r="D746" s="91"/>
      <c r="G746" s="91"/>
    </row>
    <row r="747" ht="15.75" customHeight="1">
      <c r="D747" s="91"/>
      <c r="G747" s="91"/>
    </row>
    <row r="748" ht="15.75" customHeight="1">
      <c r="D748" s="91"/>
      <c r="G748" s="91"/>
    </row>
    <row r="749" ht="15.75" customHeight="1">
      <c r="D749" s="91"/>
      <c r="G749" s="91"/>
    </row>
    <row r="750" ht="15.75" customHeight="1">
      <c r="D750" s="91"/>
      <c r="G750" s="91"/>
    </row>
    <row r="751" ht="15.75" customHeight="1">
      <c r="D751" s="91"/>
      <c r="G751" s="91"/>
    </row>
    <row r="752" ht="15.75" customHeight="1">
      <c r="D752" s="91"/>
      <c r="G752" s="91"/>
    </row>
    <row r="753" ht="15.75" customHeight="1">
      <c r="D753" s="91"/>
      <c r="G753" s="91"/>
    </row>
    <row r="754" ht="15.75" customHeight="1">
      <c r="D754" s="91"/>
      <c r="G754" s="91"/>
    </row>
    <row r="755" ht="15.75" customHeight="1">
      <c r="D755" s="91"/>
      <c r="G755" s="91"/>
    </row>
    <row r="756" ht="15.75" customHeight="1">
      <c r="D756" s="91"/>
      <c r="G756" s="91"/>
    </row>
    <row r="757" ht="15.75" customHeight="1">
      <c r="D757" s="91"/>
      <c r="G757" s="91"/>
    </row>
    <row r="758" ht="15.75" customHeight="1">
      <c r="D758" s="91"/>
      <c r="G758" s="91"/>
    </row>
    <row r="759" ht="15.75" customHeight="1">
      <c r="D759" s="91"/>
      <c r="G759" s="91"/>
    </row>
    <row r="760" ht="15.75" customHeight="1">
      <c r="D760" s="91"/>
      <c r="G760" s="91"/>
    </row>
    <row r="761" ht="15.75" customHeight="1">
      <c r="D761" s="91"/>
      <c r="G761" s="91"/>
    </row>
    <row r="762" ht="15.75" customHeight="1">
      <c r="D762" s="91"/>
      <c r="G762" s="91"/>
    </row>
    <row r="763" ht="15.75" customHeight="1">
      <c r="D763" s="91"/>
      <c r="G763" s="91"/>
    </row>
    <row r="764" ht="15.75" customHeight="1">
      <c r="D764" s="91"/>
      <c r="G764" s="91"/>
    </row>
    <row r="765" ht="15.75" customHeight="1">
      <c r="D765" s="91"/>
      <c r="G765" s="91"/>
    </row>
    <row r="766" ht="15.75" customHeight="1">
      <c r="D766" s="91"/>
      <c r="G766" s="91"/>
    </row>
    <row r="767" ht="15.75" customHeight="1">
      <c r="D767" s="91"/>
      <c r="G767" s="91"/>
    </row>
    <row r="768" ht="15.75" customHeight="1">
      <c r="D768" s="91"/>
      <c r="G768" s="91"/>
    </row>
    <row r="769" ht="15.75" customHeight="1">
      <c r="D769" s="91"/>
      <c r="G769" s="91"/>
    </row>
    <row r="770" ht="15.75" customHeight="1">
      <c r="D770" s="91"/>
      <c r="G770" s="91"/>
    </row>
    <row r="771" ht="15.75" customHeight="1">
      <c r="D771" s="91"/>
      <c r="G771" s="91"/>
    </row>
    <row r="772" ht="15.75" customHeight="1">
      <c r="D772" s="91"/>
      <c r="G772" s="91"/>
    </row>
    <row r="773" ht="15.75" customHeight="1">
      <c r="D773" s="91"/>
      <c r="G773" s="91"/>
    </row>
    <row r="774" ht="15.75" customHeight="1">
      <c r="D774" s="91"/>
      <c r="G774" s="91"/>
    </row>
    <row r="775" ht="15.75" customHeight="1">
      <c r="D775" s="91"/>
      <c r="G775" s="91"/>
    </row>
    <row r="776" ht="15.75" customHeight="1">
      <c r="D776" s="91"/>
      <c r="G776" s="91"/>
    </row>
    <row r="777" ht="15.75" customHeight="1">
      <c r="D777" s="91"/>
      <c r="G777" s="91"/>
    </row>
    <row r="778" ht="15.75" customHeight="1">
      <c r="D778" s="91"/>
      <c r="G778" s="91"/>
    </row>
    <row r="779" ht="15.75" customHeight="1">
      <c r="D779" s="91"/>
      <c r="G779" s="91"/>
    </row>
    <row r="780" ht="15.75" customHeight="1">
      <c r="D780" s="91"/>
      <c r="G780" s="91"/>
    </row>
    <row r="781" ht="15.75" customHeight="1">
      <c r="D781" s="91"/>
      <c r="G781" s="91"/>
    </row>
    <row r="782" ht="15.75" customHeight="1">
      <c r="D782" s="91"/>
      <c r="G782" s="91"/>
    </row>
    <row r="783" ht="15.75" customHeight="1">
      <c r="D783" s="91"/>
      <c r="G783" s="91"/>
    </row>
    <row r="784" ht="15.75" customHeight="1">
      <c r="D784" s="91"/>
      <c r="G784" s="91"/>
    </row>
    <row r="785" ht="15.75" customHeight="1">
      <c r="D785" s="91"/>
      <c r="G785" s="91"/>
    </row>
    <row r="786" ht="15.75" customHeight="1">
      <c r="D786" s="91"/>
      <c r="G786" s="91"/>
    </row>
    <row r="787" ht="15.75" customHeight="1">
      <c r="D787" s="91"/>
      <c r="G787" s="91"/>
    </row>
    <row r="788" ht="15.75" customHeight="1">
      <c r="D788" s="91"/>
      <c r="G788" s="91"/>
    </row>
    <row r="789" ht="15.75" customHeight="1">
      <c r="D789" s="91"/>
      <c r="G789" s="91"/>
    </row>
    <row r="790" ht="15.75" customHeight="1">
      <c r="D790" s="91"/>
      <c r="G790" s="91"/>
    </row>
    <row r="791" ht="15.75" customHeight="1">
      <c r="D791" s="91"/>
      <c r="G791" s="91"/>
    </row>
    <row r="792" ht="15.75" customHeight="1">
      <c r="D792" s="91"/>
      <c r="G792" s="91"/>
    </row>
    <row r="793" ht="15.75" customHeight="1">
      <c r="D793" s="91"/>
      <c r="G793" s="91"/>
    </row>
    <row r="794" ht="15.75" customHeight="1">
      <c r="D794" s="91"/>
      <c r="G794" s="91"/>
    </row>
    <row r="795" ht="15.75" customHeight="1">
      <c r="D795" s="91"/>
      <c r="G795" s="91"/>
    </row>
    <row r="796" ht="15.75" customHeight="1">
      <c r="D796" s="91"/>
      <c r="G796" s="91"/>
    </row>
    <row r="797" ht="15.75" customHeight="1">
      <c r="D797" s="91"/>
      <c r="G797" s="91"/>
    </row>
    <row r="798" ht="15.75" customHeight="1">
      <c r="D798" s="91"/>
      <c r="G798" s="91"/>
    </row>
    <row r="799" ht="15.75" customHeight="1">
      <c r="D799" s="91"/>
      <c r="G799" s="91"/>
    </row>
    <row r="800" ht="15.75" customHeight="1">
      <c r="D800" s="91"/>
      <c r="G800" s="91"/>
    </row>
    <row r="801" ht="15.75" customHeight="1">
      <c r="D801" s="91"/>
      <c r="G801" s="91"/>
    </row>
    <row r="802" ht="15.75" customHeight="1">
      <c r="D802" s="91"/>
      <c r="G802" s="91"/>
    </row>
    <row r="803" ht="15.75" customHeight="1">
      <c r="D803" s="91"/>
      <c r="G803" s="91"/>
    </row>
    <row r="804" ht="15.75" customHeight="1">
      <c r="D804" s="91"/>
      <c r="G804" s="91"/>
    </row>
    <row r="805" ht="15.75" customHeight="1">
      <c r="D805" s="91"/>
      <c r="G805" s="91"/>
    </row>
    <row r="806" ht="15.75" customHeight="1">
      <c r="D806" s="91"/>
      <c r="G806" s="91"/>
    </row>
    <row r="807" ht="15.75" customHeight="1">
      <c r="D807" s="91"/>
      <c r="G807" s="91"/>
    </row>
    <row r="808" ht="15.75" customHeight="1">
      <c r="D808" s="91"/>
      <c r="G808" s="91"/>
    </row>
    <row r="809" ht="15.75" customHeight="1">
      <c r="D809" s="91"/>
      <c r="G809" s="91"/>
    </row>
    <row r="810" ht="15.75" customHeight="1">
      <c r="D810" s="91"/>
      <c r="G810" s="91"/>
    </row>
    <row r="811" ht="15.75" customHeight="1">
      <c r="D811" s="91"/>
      <c r="G811" s="91"/>
    </row>
    <row r="812" ht="15.75" customHeight="1">
      <c r="D812" s="91"/>
      <c r="G812" s="91"/>
    </row>
    <row r="813" ht="15.75" customHeight="1">
      <c r="D813" s="91"/>
      <c r="G813" s="91"/>
    </row>
    <row r="814" ht="15.75" customHeight="1">
      <c r="D814" s="91"/>
      <c r="G814" s="91"/>
    </row>
    <row r="815" ht="15.75" customHeight="1">
      <c r="D815" s="91"/>
      <c r="G815" s="91"/>
    </row>
    <row r="816" ht="15.75" customHeight="1">
      <c r="D816" s="91"/>
      <c r="G816" s="91"/>
    </row>
    <row r="817" ht="15.75" customHeight="1">
      <c r="D817" s="91"/>
      <c r="G817" s="91"/>
    </row>
    <row r="818" ht="15.75" customHeight="1">
      <c r="D818" s="91"/>
      <c r="G818" s="91"/>
    </row>
    <row r="819" ht="15.75" customHeight="1">
      <c r="D819" s="91"/>
      <c r="G819" s="91"/>
    </row>
    <row r="820" ht="15.75" customHeight="1">
      <c r="D820" s="91"/>
      <c r="G820" s="91"/>
    </row>
    <row r="821" ht="15.75" customHeight="1">
      <c r="D821" s="91"/>
      <c r="G821" s="91"/>
    </row>
    <row r="822" ht="15.75" customHeight="1">
      <c r="D822" s="91"/>
      <c r="G822" s="91"/>
    </row>
    <row r="823" ht="15.75" customHeight="1">
      <c r="D823" s="91"/>
      <c r="G823" s="91"/>
    </row>
    <row r="824" ht="15.75" customHeight="1">
      <c r="D824" s="91"/>
      <c r="G824" s="91"/>
    </row>
    <row r="825" ht="15.75" customHeight="1">
      <c r="D825" s="91"/>
      <c r="G825" s="91"/>
    </row>
    <row r="826" ht="15.75" customHeight="1">
      <c r="D826" s="91"/>
      <c r="G826" s="91"/>
    </row>
    <row r="827" ht="15.75" customHeight="1">
      <c r="D827" s="91"/>
      <c r="G827" s="91"/>
    </row>
    <row r="828" ht="15.75" customHeight="1">
      <c r="D828" s="91"/>
      <c r="G828" s="91"/>
    </row>
    <row r="829" ht="15.75" customHeight="1">
      <c r="D829" s="91"/>
      <c r="G829" s="91"/>
    </row>
    <row r="830" ht="15.75" customHeight="1">
      <c r="D830" s="91"/>
      <c r="G830" s="91"/>
    </row>
    <row r="831" ht="15.75" customHeight="1">
      <c r="D831" s="91"/>
      <c r="G831" s="91"/>
    </row>
    <row r="832" ht="15.75" customHeight="1">
      <c r="D832" s="91"/>
      <c r="G832" s="91"/>
    </row>
    <row r="833" ht="15.75" customHeight="1">
      <c r="D833" s="91"/>
      <c r="G833" s="91"/>
    </row>
    <row r="834" ht="15.75" customHeight="1">
      <c r="D834" s="91"/>
      <c r="G834" s="91"/>
    </row>
    <row r="835" ht="15.75" customHeight="1">
      <c r="D835" s="91"/>
      <c r="G835" s="91"/>
    </row>
    <row r="836" ht="15.75" customHeight="1">
      <c r="D836" s="91"/>
      <c r="G836" s="91"/>
    </row>
    <row r="837" ht="15.75" customHeight="1">
      <c r="D837" s="91"/>
      <c r="G837" s="91"/>
    </row>
    <row r="838" ht="15.75" customHeight="1">
      <c r="D838" s="91"/>
      <c r="G838" s="91"/>
    </row>
    <row r="839" ht="15.75" customHeight="1">
      <c r="D839" s="91"/>
      <c r="G839" s="91"/>
    </row>
    <row r="840" ht="15.75" customHeight="1">
      <c r="D840" s="91"/>
      <c r="G840" s="91"/>
    </row>
    <row r="841" ht="15.75" customHeight="1">
      <c r="D841" s="91"/>
      <c r="G841" s="91"/>
    </row>
    <row r="842" ht="15.75" customHeight="1">
      <c r="D842" s="91"/>
      <c r="G842" s="91"/>
    </row>
    <row r="843" ht="15.75" customHeight="1">
      <c r="D843" s="91"/>
      <c r="G843" s="91"/>
    </row>
    <row r="844" ht="15.75" customHeight="1">
      <c r="D844" s="91"/>
      <c r="G844" s="91"/>
    </row>
    <row r="845" ht="15.75" customHeight="1">
      <c r="D845" s="91"/>
      <c r="G845" s="91"/>
    </row>
    <row r="846" ht="15.75" customHeight="1">
      <c r="D846" s="91"/>
      <c r="G846" s="91"/>
    </row>
    <row r="847" ht="15.75" customHeight="1">
      <c r="D847" s="91"/>
      <c r="G847" s="91"/>
    </row>
    <row r="848" ht="15.75" customHeight="1">
      <c r="D848" s="91"/>
      <c r="G848" s="91"/>
    </row>
    <row r="849" ht="15.75" customHeight="1">
      <c r="D849" s="91"/>
      <c r="G849" s="91"/>
    </row>
    <row r="850" ht="15.75" customHeight="1">
      <c r="D850" s="91"/>
      <c r="G850" s="91"/>
    </row>
    <row r="851" ht="15.75" customHeight="1">
      <c r="D851" s="91"/>
      <c r="G851" s="91"/>
    </row>
    <row r="852" ht="15.75" customHeight="1">
      <c r="D852" s="91"/>
      <c r="G852" s="91"/>
    </row>
    <row r="853" ht="15.75" customHeight="1">
      <c r="D853" s="91"/>
      <c r="G853" s="91"/>
    </row>
    <row r="854" ht="15.75" customHeight="1">
      <c r="D854" s="91"/>
      <c r="G854" s="91"/>
    </row>
    <row r="855" ht="15.75" customHeight="1">
      <c r="D855" s="91"/>
      <c r="G855" s="91"/>
    </row>
    <row r="856" ht="15.75" customHeight="1">
      <c r="D856" s="91"/>
      <c r="G856" s="91"/>
    </row>
    <row r="857" ht="15.75" customHeight="1">
      <c r="D857" s="91"/>
      <c r="G857" s="91"/>
    </row>
    <row r="858" ht="15.75" customHeight="1">
      <c r="D858" s="91"/>
      <c r="G858" s="91"/>
    </row>
    <row r="859" ht="15.75" customHeight="1">
      <c r="D859" s="91"/>
      <c r="G859" s="91"/>
    </row>
    <row r="860" ht="15.75" customHeight="1">
      <c r="D860" s="91"/>
      <c r="G860" s="91"/>
    </row>
    <row r="861" ht="15.75" customHeight="1">
      <c r="D861" s="91"/>
      <c r="G861" s="91"/>
    </row>
    <row r="862" ht="15.75" customHeight="1">
      <c r="D862" s="91"/>
      <c r="G862" s="91"/>
    </row>
    <row r="863" ht="15.75" customHeight="1">
      <c r="D863" s="91"/>
      <c r="G863" s="91"/>
    </row>
    <row r="864" ht="15.75" customHeight="1">
      <c r="D864" s="91"/>
      <c r="G864" s="91"/>
    </row>
    <row r="865" ht="15.75" customHeight="1">
      <c r="D865" s="91"/>
      <c r="G865" s="91"/>
    </row>
    <row r="866" ht="15.75" customHeight="1">
      <c r="D866" s="91"/>
      <c r="G866" s="91"/>
    </row>
    <row r="867" ht="15.75" customHeight="1">
      <c r="D867" s="91"/>
      <c r="G867" s="91"/>
    </row>
    <row r="868" ht="15.75" customHeight="1">
      <c r="D868" s="91"/>
      <c r="G868" s="91"/>
    </row>
    <row r="869" ht="15.75" customHeight="1">
      <c r="D869" s="91"/>
      <c r="G869" s="91"/>
    </row>
    <row r="870" ht="15.75" customHeight="1">
      <c r="D870" s="91"/>
      <c r="G870" s="91"/>
    </row>
    <row r="871" ht="15.75" customHeight="1">
      <c r="D871" s="91"/>
      <c r="G871" s="91"/>
    </row>
    <row r="872" ht="15.75" customHeight="1">
      <c r="D872" s="91"/>
      <c r="G872" s="91"/>
    </row>
    <row r="873" ht="15.75" customHeight="1">
      <c r="D873" s="91"/>
      <c r="G873" s="91"/>
    </row>
    <row r="874" ht="15.75" customHeight="1">
      <c r="D874" s="91"/>
      <c r="G874" s="91"/>
    </row>
    <row r="875" ht="15.75" customHeight="1">
      <c r="D875" s="91"/>
      <c r="G875" s="91"/>
    </row>
    <row r="876" ht="15.75" customHeight="1">
      <c r="D876" s="91"/>
      <c r="G876" s="91"/>
    </row>
    <row r="877" ht="15.75" customHeight="1">
      <c r="D877" s="91"/>
      <c r="G877" s="91"/>
    </row>
    <row r="878" ht="15.75" customHeight="1">
      <c r="D878" s="91"/>
      <c r="G878" s="91"/>
    </row>
    <row r="879" ht="15.75" customHeight="1">
      <c r="D879" s="91"/>
      <c r="G879" s="91"/>
    </row>
    <row r="880" ht="15.75" customHeight="1">
      <c r="D880" s="91"/>
      <c r="G880" s="91"/>
    </row>
    <row r="881" ht="15.75" customHeight="1">
      <c r="D881" s="91"/>
      <c r="G881" s="91"/>
    </row>
    <row r="882" ht="15.75" customHeight="1">
      <c r="D882" s="91"/>
      <c r="G882" s="91"/>
    </row>
    <row r="883" ht="15.75" customHeight="1">
      <c r="D883" s="91"/>
      <c r="G883" s="91"/>
    </row>
    <row r="884" ht="15.75" customHeight="1">
      <c r="D884" s="91"/>
      <c r="G884" s="91"/>
    </row>
    <row r="885" ht="15.75" customHeight="1">
      <c r="D885" s="91"/>
      <c r="G885" s="91"/>
    </row>
    <row r="886" ht="15.75" customHeight="1">
      <c r="D886" s="91"/>
      <c r="G886" s="91"/>
    </row>
    <row r="887" ht="15.75" customHeight="1">
      <c r="D887" s="91"/>
      <c r="G887" s="91"/>
    </row>
    <row r="888" ht="15.75" customHeight="1">
      <c r="D888" s="91"/>
      <c r="G888" s="91"/>
    </row>
    <row r="889" ht="15.75" customHeight="1">
      <c r="D889" s="91"/>
      <c r="G889" s="91"/>
    </row>
    <row r="890" ht="15.75" customHeight="1">
      <c r="D890" s="91"/>
      <c r="G890" s="91"/>
    </row>
    <row r="891" ht="15.75" customHeight="1">
      <c r="D891" s="91"/>
      <c r="G891" s="91"/>
    </row>
    <row r="892" ht="15.75" customHeight="1">
      <c r="D892" s="91"/>
      <c r="G892" s="91"/>
    </row>
    <row r="893" ht="15.75" customHeight="1">
      <c r="D893" s="91"/>
      <c r="G893" s="91"/>
    </row>
    <row r="894" ht="15.75" customHeight="1">
      <c r="D894" s="91"/>
      <c r="G894" s="91"/>
    </row>
    <row r="895" ht="15.75" customHeight="1">
      <c r="D895" s="91"/>
      <c r="G895" s="91"/>
    </row>
    <row r="896" ht="15.75" customHeight="1">
      <c r="D896" s="91"/>
      <c r="G896" s="91"/>
    </row>
    <row r="897" ht="15.75" customHeight="1">
      <c r="D897" s="91"/>
      <c r="G897" s="91"/>
    </row>
    <row r="898" ht="15.75" customHeight="1">
      <c r="D898" s="91"/>
      <c r="G898" s="91"/>
    </row>
    <row r="899" ht="15.75" customHeight="1">
      <c r="D899" s="91"/>
      <c r="G899" s="91"/>
    </row>
    <row r="900" ht="15.75" customHeight="1">
      <c r="D900" s="91"/>
      <c r="G900" s="91"/>
    </row>
    <row r="901" ht="15.75" customHeight="1">
      <c r="D901" s="91"/>
      <c r="G901" s="91"/>
    </row>
    <row r="902" ht="15.75" customHeight="1">
      <c r="D902" s="91"/>
      <c r="G902" s="91"/>
    </row>
    <row r="903" ht="15.75" customHeight="1">
      <c r="D903" s="91"/>
      <c r="G903" s="91"/>
    </row>
    <row r="904" ht="15.75" customHeight="1">
      <c r="D904" s="91"/>
      <c r="G904" s="91"/>
    </row>
    <row r="905" ht="15.75" customHeight="1">
      <c r="D905" s="91"/>
      <c r="G905" s="91"/>
    </row>
    <row r="906" ht="15.75" customHeight="1">
      <c r="D906" s="91"/>
      <c r="G906" s="91"/>
    </row>
    <row r="907" ht="15.75" customHeight="1">
      <c r="D907" s="91"/>
      <c r="G907" s="91"/>
    </row>
    <row r="908" ht="15.75" customHeight="1">
      <c r="D908" s="91"/>
      <c r="G908" s="91"/>
    </row>
    <row r="909" ht="15.75" customHeight="1">
      <c r="D909" s="91"/>
      <c r="G909" s="91"/>
    </row>
    <row r="910" ht="15.75" customHeight="1">
      <c r="D910" s="91"/>
      <c r="G910" s="91"/>
    </row>
    <row r="911" ht="15.75" customHeight="1">
      <c r="D911" s="91"/>
      <c r="G911" s="91"/>
    </row>
    <row r="912" ht="15.75" customHeight="1">
      <c r="D912" s="91"/>
      <c r="G912" s="91"/>
    </row>
    <row r="913" ht="15.75" customHeight="1">
      <c r="D913" s="91"/>
      <c r="G913" s="91"/>
    </row>
    <row r="914" ht="15.75" customHeight="1">
      <c r="D914" s="91"/>
      <c r="G914" s="91"/>
    </row>
    <row r="915" ht="15.75" customHeight="1">
      <c r="D915" s="91"/>
      <c r="G915" s="91"/>
    </row>
    <row r="916" ht="15.75" customHeight="1">
      <c r="D916" s="91"/>
      <c r="G916" s="91"/>
    </row>
    <row r="917" ht="15.75" customHeight="1">
      <c r="D917" s="91"/>
      <c r="G917" s="91"/>
    </row>
    <row r="918" ht="15.75" customHeight="1">
      <c r="D918" s="91"/>
      <c r="G918" s="91"/>
    </row>
    <row r="919" ht="15.75" customHeight="1">
      <c r="D919" s="91"/>
      <c r="G919" s="91"/>
    </row>
    <row r="920" ht="15.75" customHeight="1">
      <c r="D920" s="91"/>
      <c r="G920" s="91"/>
    </row>
    <row r="921" ht="15.75" customHeight="1">
      <c r="D921" s="91"/>
      <c r="G921" s="91"/>
    </row>
    <row r="922" ht="15.75" customHeight="1">
      <c r="D922" s="91"/>
      <c r="G922" s="91"/>
    </row>
    <row r="923" ht="15.75" customHeight="1">
      <c r="D923" s="91"/>
      <c r="G923" s="91"/>
    </row>
    <row r="924" ht="15.75" customHeight="1">
      <c r="D924" s="91"/>
      <c r="G924" s="91"/>
    </row>
    <row r="925" ht="15.75" customHeight="1">
      <c r="D925" s="91"/>
      <c r="G925" s="91"/>
    </row>
    <row r="926" ht="15.75" customHeight="1">
      <c r="D926" s="91"/>
      <c r="G926" s="91"/>
    </row>
    <row r="927" ht="15.75" customHeight="1">
      <c r="D927" s="91"/>
      <c r="G927" s="91"/>
    </row>
    <row r="928" ht="15.75" customHeight="1">
      <c r="D928" s="91"/>
      <c r="G928" s="91"/>
    </row>
    <row r="929" ht="15.75" customHeight="1">
      <c r="D929" s="91"/>
      <c r="G929" s="91"/>
    </row>
    <row r="930" ht="15.75" customHeight="1">
      <c r="D930" s="91"/>
      <c r="G930" s="91"/>
    </row>
    <row r="931" ht="15.75" customHeight="1">
      <c r="D931" s="91"/>
      <c r="G931" s="91"/>
    </row>
    <row r="932" ht="15.75" customHeight="1">
      <c r="D932" s="91"/>
      <c r="G932" s="91"/>
    </row>
    <row r="933" ht="15.75" customHeight="1">
      <c r="D933" s="91"/>
      <c r="G933" s="91"/>
    </row>
    <row r="934" ht="15.75" customHeight="1">
      <c r="D934" s="91"/>
      <c r="G934" s="91"/>
    </row>
    <row r="935" ht="15.75" customHeight="1">
      <c r="D935" s="91"/>
      <c r="G935" s="91"/>
    </row>
    <row r="936" ht="15.75" customHeight="1">
      <c r="D936" s="91"/>
      <c r="G936" s="91"/>
    </row>
    <row r="937" ht="15.75" customHeight="1">
      <c r="D937" s="91"/>
      <c r="G937" s="91"/>
    </row>
    <row r="938" ht="15.75" customHeight="1">
      <c r="D938" s="91"/>
      <c r="G938" s="91"/>
    </row>
    <row r="939" ht="15.75" customHeight="1">
      <c r="D939" s="91"/>
      <c r="G939" s="91"/>
    </row>
    <row r="940" ht="15.75" customHeight="1">
      <c r="D940" s="91"/>
      <c r="G940" s="91"/>
    </row>
    <row r="941" ht="15.75" customHeight="1">
      <c r="D941" s="91"/>
      <c r="G941" s="91"/>
    </row>
    <row r="942" ht="15.75" customHeight="1">
      <c r="D942" s="91"/>
      <c r="G942" s="91"/>
    </row>
    <row r="943" ht="15.75" customHeight="1">
      <c r="D943" s="91"/>
      <c r="G943" s="91"/>
    </row>
    <row r="944" ht="15.75" customHeight="1">
      <c r="D944" s="91"/>
      <c r="G944" s="91"/>
    </row>
    <row r="945" ht="15.75" customHeight="1">
      <c r="D945" s="91"/>
      <c r="G945" s="91"/>
    </row>
    <row r="946" ht="15.75" customHeight="1">
      <c r="D946" s="91"/>
      <c r="G946" s="91"/>
    </row>
    <row r="947" ht="15.75" customHeight="1">
      <c r="D947" s="91"/>
      <c r="G947" s="91"/>
    </row>
    <row r="948" ht="15.75" customHeight="1">
      <c r="D948" s="91"/>
      <c r="G948" s="91"/>
    </row>
    <row r="949" ht="15.75" customHeight="1">
      <c r="D949" s="91"/>
      <c r="G949" s="91"/>
    </row>
    <row r="950" ht="15.75" customHeight="1">
      <c r="D950" s="91"/>
      <c r="G950" s="91"/>
    </row>
    <row r="951" ht="15.75" customHeight="1">
      <c r="D951" s="91"/>
      <c r="G951" s="91"/>
    </row>
    <row r="952" ht="15.75" customHeight="1">
      <c r="D952" s="91"/>
      <c r="G952" s="91"/>
    </row>
    <row r="953" ht="15.75" customHeight="1">
      <c r="D953" s="91"/>
      <c r="G953" s="91"/>
    </row>
    <row r="954" ht="15.75" customHeight="1">
      <c r="D954" s="91"/>
      <c r="G954" s="91"/>
    </row>
    <row r="955" ht="15.75" customHeight="1">
      <c r="D955" s="91"/>
      <c r="G955" s="91"/>
    </row>
    <row r="956" ht="15.75" customHeight="1">
      <c r="D956" s="91"/>
      <c r="G956" s="91"/>
    </row>
    <row r="957" ht="15.75" customHeight="1">
      <c r="D957" s="91"/>
      <c r="G957" s="91"/>
    </row>
    <row r="958" ht="15.75" customHeight="1">
      <c r="D958" s="91"/>
      <c r="G958" s="91"/>
    </row>
    <row r="959" ht="15.75" customHeight="1">
      <c r="D959" s="91"/>
      <c r="G959" s="91"/>
    </row>
    <row r="960" ht="15.75" customHeight="1">
      <c r="D960" s="91"/>
      <c r="G960" s="91"/>
    </row>
    <row r="961" ht="15.75" customHeight="1">
      <c r="D961" s="91"/>
      <c r="G961" s="91"/>
    </row>
    <row r="962" ht="15.75" customHeight="1">
      <c r="D962" s="91"/>
      <c r="G962" s="91"/>
    </row>
    <row r="963" ht="15.75" customHeight="1">
      <c r="D963" s="91"/>
      <c r="G963" s="91"/>
    </row>
    <row r="964" ht="15.75" customHeight="1">
      <c r="D964" s="91"/>
      <c r="G964" s="91"/>
    </row>
    <row r="965" ht="15.75" customHeight="1">
      <c r="D965" s="91"/>
      <c r="G965" s="91"/>
    </row>
    <row r="966" ht="15.75" customHeight="1">
      <c r="D966" s="91"/>
      <c r="G966" s="91"/>
    </row>
    <row r="967" ht="15.75" customHeight="1">
      <c r="D967" s="91"/>
      <c r="G967" s="91"/>
    </row>
    <row r="968" ht="15.75" customHeight="1">
      <c r="D968" s="91"/>
      <c r="G968" s="91"/>
    </row>
    <row r="969" ht="15.75" customHeight="1">
      <c r="D969" s="91"/>
      <c r="G969" s="91"/>
    </row>
    <row r="970" ht="15.75" customHeight="1">
      <c r="D970" s="91"/>
      <c r="G970" s="91"/>
    </row>
    <row r="971" ht="15.75" customHeight="1">
      <c r="D971" s="91"/>
      <c r="G971" s="91"/>
    </row>
    <row r="972" ht="15.75" customHeight="1">
      <c r="D972" s="91"/>
      <c r="G972" s="91"/>
    </row>
    <row r="973" ht="15.75" customHeight="1">
      <c r="D973" s="91"/>
      <c r="G973" s="91"/>
    </row>
    <row r="974" ht="15.75" customHeight="1">
      <c r="D974" s="91"/>
      <c r="G974" s="91"/>
    </row>
    <row r="975" ht="15.75" customHeight="1">
      <c r="D975" s="91"/>
      <c r="G975" s="91"/>
    </row>
    <row r="976" ht="15.75" customHeight="1">
      <c r="D976" s="91"/>
      <c r="G976" s="91"/>
    </row>
    <row r="977" ht="15.75" customHeight="1">
      <c r="D977" s="91"/>
      <c r="G977" s="91"/>
    </row>
    <row r="978" ht="15.75" customHeight="1">
      <c r="D978" s="91"/>
      <c r="G978" s="91"/>
    </row>
    <row r="979" ht="15.75" customHeight="1">
      <c r="D979" s="91"/>
      <c r="G979" s="91"/>
    </row>
    <row r="980" ht="15.75" customHeight="1">
      <c r="D980" s="91"/>
      <c r="G980" s="91"/>
    </row>
    <row r="981" ht="15.75" customHeight="1">
      <c r="D981" s="91"/>
      <c r="G981" s="91"/>
    </row>
    <row r="982" ht="15.75" customHeight="1">
      <c r="D982" s="91"/>
      <c r="G982" s="91"/>
    </row>
    <row r="983" ht="15.75" customHeight="1">
      <c r="D983" s="91"/>
      <c r="G983" s="91"/>
    </row>
    <row r="984" ht="15.75" customHeight="1">
      <c r="D984" s="91"/>
      <c r="G984" s="91"/>
    </row>
    <row r="985" ht="15.75" customHeight="1">
      <c r="D985" s="91"/>
      <c r="G985" s="91"/>
    </row>
    <row r="986" ht="15.75" customHeight="1">
      <c r="D986" s="91"/>
      <c r="G986" s="91"/>
    </row>
    <row r="987" ht="15.75" customHeight="1">
      <c r="D987" s="91"/>
      <c r="G987" s="91"/>
    </row>
    <row r="988" ht="15.75" customHeight="1">
      <c r="D988" s="91"/>
      <c r="G988" s="91"/>
    </row>
    <row r="989" ht="15.75" customHeight="1">
      <c r="D989" s="91"/>
      <c r="G989" s="91"/>
    </row>
    <row r="990" ht="15.75" customHeight="1">
      <c r="D990" s="91"/>
      <c r="G990" s="91"/>
    </row>
    <row r="991" ht="15.75" customHeight="1">
      <c r="D991" s="91"/>
      <c r="G991" s="91"/>
    </row>
    <row r="992" ht="15.75" customHeight="1">
      <c r="D992" s="91"/>
      <c r="G992" s="91"/>
    </row>
    <row r="993" ht="15.75" customHeight="1">
      <c r="D993" s="91"/>
      <c r="G993" s="91"/>
    </row>
    <row r="994" ht="15.75" customHeight="1">
      <c r="D994" s="91"/>
      <c r="G994" s="91"/>
    </row>
    <row r="995" ht="15.75" customHeight="1">
      <c r="D995" s="91"/>
      <c r="G995" s="91"/>
    </row>
    <row r="996" ht="15.75" customHeight="1">
      <c r="D996" s="91"/>
      <c r="G996" s="91"/>
    </row>
    <row r="997" ht="15.75" customHeight="1">
      <c r="D997" s="91"/>
      <c r="G997" s="91"/>
    </row>
    <row r="998" ht="15.75" customHeight="1">
      <c r="D998" s="91"/>
      <c r="G998" s="91"/>
    </row>
    <row r="999" ht="15.75" customHeight="1">
      <c r="D999" s="91"/>
      <c r="G999" s="91"/>
    </row>
    <row r="1000" ht="15.75" customHeight="1">
      <c r="D1000" s="91"/>
      <c r="G1000" s="91"/>
    </row>
    <row r="1001" ht="15.75" customHeight="1">
      <c r="D1001" s="91"/>
      <c r="G1001" s="91"/>
    </row>
  </sheetData>
  <mergeCells count="18">
    <mergeCell ref="B6:B7"/>
    <mergeCell ref="C6:C7"/>
    <mergeCell ref="D6:F6"/>
    <mergeCell ref="G6:I6"/>
    <mergeCell ref="K6:N6"/>
    <mergeCell ref="P6:T6"/>
    <mergeCell ref="U6:X6"/>
    <mergeCell ref="Y6:AA6"/>
    <mergeCell ref="AC6:AG6"/>
    <mergeCell ref="AH6:AL6"/>
    <mergeCell ref="A1:AM1"/>
    <mergeCell ref="C3:P3"/>
    <mergeCell ref="Q3:U3"/>
    <mergeCell ref="V3:AE3"/>
    <mergeCell ref="C4:P4"/>
    <mergeCell ref="V4:AE4"/>
    <mergeCell ref="A6:A7"/>
    <mergeCell ref="AM6:AM7"/>
  </mergeCells>
  <printOptions/>
  <pageMargins bottom="0.75" footer="0.0" header="0.0" left="0.7" right="0.7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0"/>
    <col customWidth="1" min="2" max="2" width="45.0"/>
    <col customWidth="1" min="3" max="5" width="4.0"/>
    <col customWidth="1" min="6" max="7" width="3.78"/>
    <col customWidth="1" min="8" max="12" width="4.0"/>
    <col customWidth="1" min="13" max="13" width="4.11"/>
    <col customWidth="1" min="14" max="15" width="4.0"/>
    <col customWidth="1" min="16" max="16" width="4.44"/>
    <col customWidth="1" min="17" max="20" width="4.33"/>
    <col customWidth="1" min="21" max="21" width="4.11"/>
    <col customWidth="1" min="22" max="23" width="4.33"/>
    <col customWidth="1" min="24" max="24" width="4.44"/>
    <col customWidth="1" min="25" max="25" width="4.33"/>
    <col customWidth="1" min="26" max="26" width="4.11"/>
    <col customWidth="1" min="27" max="27" width="4.33"/>
    <col customWidth="1" min="28" max="28" width="4.11"/>
    <col customWidth="1" min="29" max="30" width="4.33"/>
    <col customWidth="1" min="31" max="31" width="4.0"/>
    <col customWidth="1" min="32" max="32" width="4.11"/>
    <col customWidth="1" min="33" max="33" width="4.33"/>
    <col customWidth="1" min="34" max="34" width="4.11"/>
    <col customWidth="1" min="35" max="35" width="4.33"/>
    <col customWidth="1" min="36" max="36" width="4.0"/>
    <col customWidth="1" min="37" max="37" width="4.33"/>
    <col customWidth="1" min="38" max="38" width="4.44"/>
    <col customWidth="1" min="39" max="39" width="7.67"/>
  </cols>
  <sheetData>
    <row r="1" ht="24.75" customHeight="1">
      <c r="A1" s="442" t="s">
        <v>586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4"/>
    </row>
    <row r="2" ht="15.75" customHeight="1">
      <c r="A2" s="44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M2" s="446"/>
    </row>
    <row r="3" ht="24.0" customHeight="1">
      <c r="A3" s="447"/>
      <c r="B3" s="9" t="s">
        <v>547</v>
      </c>
      <c r="C3" s="10" t="s">
        <v>2</v>
      </c>
      <c r="Q3" s="9" t="s">
        <v>310</v>
      </c>
      <c r="V3" s="11" t="s">
        <v>691</v>
      </c>
      <c r="AM3" s="446"/>
    </row>
    <row r="4" ht="25.5" customHeight="1">
      <c r="A4" s="448"/>
      <c r="B4" s="449" t="s">
        <v>549</v>
      </c>
      <c r="C4" s="450" t="s">
        <v>6</v>
      </c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49" t="s">
        <v>312</v>
      </c>
      <c r="R4" s="449"/>
      <c r="S4" s="449"/>
      <c r="T4" s="449"/>
      <c r="U4" s="449"/>
      <c r="V4" s="482"/>
      <c r="W4" s="451"/>
      <c r="X4" s="451"/>
      <c r="Y4" s="451"/>
      <c r="Z4" s="451"/>
      <c r="AA4" s="451"/>
      <c r="AB4" s="451"/>
      <c r="AC4" s="451"/>
      <c r="AD4" s="451"/>
      <c r="AE4" s="451"/>
      <c r="AF4" s="452"/>
      <c r="AG4" s="452"/>
      <c r="AH4" s="453"/>
      <c r="AI4" s="453"/>
      <c r="AJ4" s="453"/>
      <c r="AK4" s="453"/>
      <c r="AL4" s="453"/>
      <c r="AM4" s="454"/>
    </row>
    <row r="5" ht="15.75" customHeight="1">
      <c r="A5" s="19"/>
      <c r="B5" s="19"/>
      <c r="C5" s="19"/>
    </row>
    <row r="6" ht="15.75" customHeight="1">
      <c r="A6" s="176" t="s">
        <v>9</v>
      </c>
      <c r="B6" s="176" t="s">
        <v>10</v>
      </c>
      <c r="C6" s="329" t="s">
        <v>11</v>
      </c>
      <c r="D6" s="22" t="s">
        <v>12</v>
      </c>
      <c r="E6" s="23"/>
      <c r="F6" s="24"/>
      <c r="G6" s="330" t="s">
        <v>53</v>
      </c>
      <c r="H6" s="23"/>
      <c r="I6" s="24"/>
      <c r="J6" s="331" t="s">
        <v>131</v>
      </c>
      <c r="K6" s="332" t="s">
        <v>132</v>
      </c>
      <c r="L6" s="23"/>
      <c r="M6" s="23"/>
      <c r="N6" s="24"/>
      <c r="O6" s="333" t="s">
        <v>133</v>
      </c>
      <c r="P6" s="334" t="s">
        <v>14</v>
      </c>
      <c r="Q6" s="23"/>
      <c r="R6" s="23"/>
      <c r="S6" s="23"/>
      <c r="T6" s="24"/>
      <c r="U6" s="26" t="s">
        <v>15</v>
      </c>
      <c r="V6" s="23"/>
      <c r="W6" s="23"/>
      <c r="X6" s="24"/>
      <c r="Y6" s="273" t="s">
        <v>16</v>
      </c>
      <c r="Z6" s="23"/>
      <c r="AA6" s="335"/>
      <c r="AB6" s="336"/>
      <c r="AC6" s="25" t="s">
        <v>17</v>
      </c>
      <c r="AD6" s="23"/>
      <c r="AE6" s="23"/>
      <c r="AF6" s="23"/>
      <c r="AG6" s="24"/>
      <c r="AH6" s="28" t="s">
        <v>18</v>
      </c>
      <c r="AI6" s="23"/>
      <c r="AJ6" s="23"/>
      <c r="AK6" s="23"/>
      <c r="AL6" s="24"/>
      <c r="AM6" s="337" t="s">
        <v>19</v>
      </c>
    </row>
    <row r="7" ht="66.75" customHeight="1">
      <c r="A7" s="188"/>
      <c r="B7" s="188"/>
      <c r="C7" s="188"/>
      <c r="D7" s="217" t="s">
        <v>590</v>
      </c>
      <c r="E7" s="218" t="s">
        <v>591</v>
      </c>
      <c r="F7" s="219" t="s">
        <v>20</v>
      </c>
      <c r="G7" s="338" t="s">
        <v>592</v>
      </c>
      <c r="H7" s="339" t="s">
        <v>591</v>
      </c>
      <c r="I7" s="340" t="s">
        <v>20</v>
      </c>
      <c r="J7" s="341" t="s">
        <v>593</v>
      </c>
      <c r="K7" s="381" t="s">
        <v>594</v>
      </c>
      <c r="L7" s="382" t="s">
        <v>595</v>
      </c>
      <c r="M7" s="382" t="s">
        <v>596</v>
      </c>
      <c r="N7" s="344" t="s">
        <v>20</v>
      </c>
      <c r="O7" s="345" t="s">
        <v>597</v>
      </c>
      <c r="P7" s="346" t="s">
        <v>598</v>
      </c>
      <c r="Q7" s="347" t="s">
        <v>599</v>
      </c>
      <c r="R7" s="347" t="s">
        <v>600</v>
      </c>
      <c r="S7" s="347" t="s">
        <v>601</v>
      </c>
      <c r="T7" s="348" t="s">
        <v>20</v>
      </c>
      <c r="U7" s="349" t="s">
        <v>602</v>
      </c>
      <c r="V7" s="350" t="s">
        <v>603</v>
      </c>
      <c r="W7" s="351" t="s">
        <v>604</v>
      </c>
      <c r="X7" s="352" t="s">
        <v>20</v>
      </c>
      <c r="Y7" s="286" t="s">
        <v>605</v>
      </c>
      <c r="Z7" s="287" t="s">
        <v>606</v>
      </c>
      <c r="AA7" s="289" t="s">
        <v>607</v>
      </c>
      <c r="AB7" s="288" t="s">
        <v>20</v>
      </c>
      <c r="AC7" s="238" t="s">
        <v>608</v>
      </c>
      <c r="AD7" s="239" t="s">
        <v>609</v>
      </c>
      <c r="AE7" s="239" t="s">
        <v>610</v>
      </c>
      <c r="AF7" s="354" t="s">
        <v>611</v>
      </c>
      <c r="AG7" s="240" t="s">
        <v>20</v>
      </c>
      <c r="AH7" s="355" t="s">
        <v>612</v>
      </c>
      <c r="AI7" s="356" t="s">
        <v>613</v>
      </c>
      <c r="AJ7" s="356" t="s">
        <v>614</v>
      </c>
      <c r="AK7" s="357" t="s">
        <v>615</v>
      </c>
      <c r="AL7" s="358" t="s">
        <v>20</v>
      </c>
      <c r="AM7" s="188"/>
    </row>
    <row r="8" ht="17.25" customHeight="1">
      <c r="A8" s="59">
        <v>1.0</v>
      </c>
      <c r="B8" s="501" t="s">
        <v>692</v>
      </c>
      <c r="C8" s="155" t="s">
        <v>44</v>
      </c>
      <c r="D8" s="62">
        <v>6.0</v>
      </c>
      <c r="E8" s="155">
        <v>5.0</v>
      </c>
      <c r="F8" s="359">
        <f t="shared" ref="F8:F45" si="1">SUM(D8:E8)/2</f>
        <v>5.5</v>
      </c>
      <c r="G8" s="155">
        <v>5.0</v>
      </c>
      <c r="H8" s="155">
        <v>5.0</v>
      </c>
      <c r="I8" s="360">
        <f t="shared" ref="I8:I30" si="2">SUM(G8:H8)/2</f>
        <v>5</v>
      </c>
      <c r="J8" s="156">
        <v>5.0</v>
      </c>
      <c r="K8" s="473">
        <v>5.0</v>
      </c>
      <c r="L8" s="473">
        <v>5.0</v>
      </c>
      <c r="M8" s="473">
        <v>5.0</v>
      </c>
      <c r="N8" s="362">
        <f t="shared" ref="N8:N25" si="3">SUM(L8:M8)/2</f>
        <v>5</v>
      </c>
      <c r="O8" s="156">
        <v>6.0</v>
      </c>
      <c r="P8" s="155">
        <v>5.0</v>
      </c>
      <c r="Q8" s="155">
        <v>5.0</v>
      </c>
      <c r="R8" s="155">
        <v>6.0</v>
      </c>
      <c r="S8" s="155">
        <v>5.0</v>
      </c>
      <c r="T8" s="363">
        <f t="shared" ref="T8:T45" si="4">SUM(R8:S8)/2</f>
        <v>5.5</v>
      </c>
      <c r="U8" s="155">
        <v>5.0</v>
      </c>
      <c r="V8" s="155">
        <v>5.0</v>
      </c>
      <c r="W8" s="155">
        <v>6.0</v>
      </c>
      <c r="X8" s="158">
        <f t="shared" ref="X8:X45" si="5">SUM(U8:W8)/3</f>
        <v>5.333333333</v>
      </c>
      <c r="Y8" s="156">
        <v>5.0</v>
      </c>
      <c r="Z8" s="156">
        <v>5.0</v>
      </c>
      <c r="AA8" s="156">
        <v>5.0</v>
      </c>
      <c r="AB8" s="246">
        <f t="shared" ref="AB8:AB45" si="6">SUM(X8:AA8)/4</f>
        <v>5.083333333</v>
      </c>
      <c r="AC8" s="245">
        <v>5.0</v>
      </c>
      <c r="AD8" s="474">
        <v>5.0</v>
      </c>
      <c r="AE8" s="474">
        <v>6.0</v>
      </c>
      <c r="AF8" s="474">
        <v>6.0</v>
      </c>
      <c r="AG8" s="248">
        <f t="shared" ref="AG8:AG45" si="7">SUM(AD8:AF8)/3</f>
        <v>5.666666667</v>
      </c>
      <c r="AH8" s="245">
        <v>5.0</v>
      </c>
      <c r="AI8" s="245">
        <v>5.0</v>
      </c>
      <c r="AJ8" s="473">
        <v>5.0</v>
      </c>
      <c r="AK8" s="473">
        <v>5.0</v>
      </c>
      <c r="AL8" s="160">
        <f t="shared" ref="AL8:AL45" si="8">SUM(AI8:AK8)/3</f>
        <v>5</v>
      </c>
      <c r="AM8" s="364">
        <f t="shared" ref="AM8:AM33" si="9">SUM(AL8,AH8,AC8,Y8,U8,R8,Q8,P8,O8,L8)/10</f>
        <v>5.2</v>
      </c>
    </row>
    <row r="9" ht="16.5" customHeight="1">
      <c r="A9" s="74">
        <v>2.0</v>
      </c>
      <c r="B9" s="502" t="s">
        <v>693</v>
      </c>
      <c r="C9" s="62" t="s">
        <v>45</v>
      </c>
      <c r="D9" s="62">
        <v>4.0</v>
      </c>
      <c r="E9" s="62">
        <v>4.0</v>
      </c>
      <c r="F9" s="305">
        <f t="shared" si="1"/>
        <v>4</v>
      </c>
      <c r="G9" s="62">
        <v>3.0</v>
      </c>
      <c r="H9" s="62">
        <v>3.0</v>
      </c>
      <c r="I9" s="85">
        <f t="shared" si="2"/>
        <v>3</v>
      </c>
      <c r="J9" s="62">
        <v>4.0</v>
      </c>
      <c r="K9" s="476">
        <v>4.0</v>
      </c>
      <c r="L9" s="476">
        <v>4.0</v>
      </c>
      <c r="M9" s="476">
        <v>4.0</v>
      </c>
      <c r="N9" s="365">
        <f t="shared" si="3"/>
        <v>4</v>
      </c>
      <c r="O9" s="63">
        <v>6.0</v>
      </c>
      <c r="P9" s="62">
        <v>4.0</v>
      </c>
      <c r="Q9" s="62">
        <v>4.0</v>
      </c>
      <c r="R9" s="62">
        <v>4.0</v>
      </c>
      <c r="S9" s="62">
        <v>5.0</v>
      </c>
      <c r="T9" s="366">
        <f t="shared" si="4"/>
        <v>4.5</v>
      </c>
      <c r="U9" s="62">
        <v>4.0</v>
      </c>
      <c r="V9" s="62">
        <v>4.0</v>
      </c>
      <c r="W9" s="62">
        <v>5.0</v>
      </c>
      <c r="X9" s="68">
        <f t="shared" si="5"/>
        <v>4.333333333</v>
      </c>
      <c r="Y9" s="63">
        <v>4.0</v>
      </c>
      <c r="Z9" s="63">
        <v>5.0</v>
      </c>
      <c r="AA9" s="63">
        <v>5.0</v>
      </c>
      <c r="AB9" s="212">
        <f t="shared" si="6"/>
        <v>4.583333333</v>
      </c>
      <c r="AC9" s="250">
        <v>5.0</v>
      </c>
      <c r="AD9" s="477">
        <v>5.0</v>
      </c>
      <c r="AE9" s="477">
        <v>6.0</v>
      </c>
      <c r="AF9" s="477">
        <v>6.0</v>
      </c>
      <c r="AG9" s="67">
        <f t="shared" si="7"/>
        <v>5.666666667</v>
      </c>
      <c r="AH9" s="250">
        <v>3.0</v>
      </c>
      <c r="AI9" s="250">
        <v>3.0</v>
      </c>
      <c r="AJ9" s="476">
        <v>3.0</v>
      </c>
      <c r="AK9" s="476">
        <v>3.0</v>
      </c>
      <c r="AL9" s="70">
        <f t="shared" si="8"/>
        <v>3</v>
      </c>
      <c r="AM9" s="371">
        <f t="shared" si="9"/>
        <v>4.1</v>
      </c>
    </row>
    <row r="10" ht="18.0" customHeight="1">
      <c r="A10" s="74">
        <v>3.0</v>
      </c>
      <c r="B10" s="503" t="s">
        <v>694</v>
      </c>
      <c r="C10" s="62" t="s">
        <v>44</v>
      </c>
      <c r="D10" s="62">
        <v>6.0</v>
      </c>
      <c r="E10" s="62">
        <v>5.0</v>
      </c>
      <c r="F10" s="305">
        <f t="shared" si="1"/>
        <v>5.5</v>
      </c>
      <c r="G10" s="62">
        <v>5.0</v>
      </c>
      <c r="H10" s="62">
        <v>5.0</v>
      </c>
      <c r="I10" s="85">
        <f t="shared" si="2"/>
        <v>5</v>
      </c>
      <c r="J10" s="62">
        <v>5.0</v>
      </c>
      <c r="K10" s="476">
        <v>4.0</v>
      </c>
      <c r="L10" s="476">
        <v>4.0</v>
      </c>
      <c r="M10" s="476">
        <v>4.0</v>
      </c>
      <c r="N10" s="365">
        <f t="shared" si="3"/>
        <v>4</v>
      </c>
      <c r="O10" s="63">
        <v>6.0</v>
      </c>
      <c r="P10" s="62">
        <v>5.0</v>
      </c>
      <c r="Q10" s="62">
        <v>6.0</v>
      </c>
      <c r="R10" s="62">
        <v>6.0</v>
      </c>
      <c r="S10" s="62">
        <v>5.0</v>
      </c>
      <c r="T10" s="366">
        <f t="shared" si="4"/>
        <v>5.5</v>
      </c>
      <c r="U10" s="62">
        <v>5.0</v>
      </c>
      <c r="V10" s="62">
        <v>5.0</v>
      </c>
      <c r="W10" s="62">
        <v>6.0</v>
      </c>
      <c r="X10" s="68">
        <f t="shared" si="5"/>
        <v>5.333333333</v>
      </c>
      <c r="Y10" s="63">
        <v>5.0</v>
      </c>
      <c r="Z10" s="63">
        <v>5.0</v>
      </c>
      <c r="AA10" s="63">
        <v>5.0</v>
      </c>
      <c r="AB10" s="212">
        <f t="shared" si="6"/>
        <v>5.083333333</v>
      </c>
      <c r="AC10" s="250">
        <v>5.0</v>
      </c>
      <c r="AD10" s="477">
        <v>5.0</v>
      </c>
      <c r="AE10" s="477">
        <v>6.0</v>
      </c>
      <c r="AF10" s="477">
        <v>6.0</v>
      </c>
      <c r="AG10" s="67">
        <f t="shared" si="7"/>
        <v>5.666666667</v>
      </c>
      <c r="AH10" s="250">
        <v>5.0</v>
      </c>
      <c r="AI10" s="250">
        <v>5.0</v>
      </c>
      <c r="AJ10" s="476">
        <v>5.0</v>
      </c>
      <c r="AK10" s="476">
        <v>5.0</v>
      </c>
      <c r="AL10" s="70">
        <f t="shared" si="8"/>
        <v>5</v>
      </c>
      <c r="AM10" s="371">
        <f t="shared" si="9"/>
        <v>5.2</v>
      </c>
    </row>
    <row r="11" ht="19.5" customHeight="1">
      <c r="A11" s="74">
        <v>4.0</v>
      </c>
      <c r="B11" s="503" t="s">
        <v>695</v>
      </c>
      <c r="C11" s="62" t="s">
        <v>45</v>
      </c>
      <c r="D11" s="62">
        <v>5.0</v>
      </c>
      <c r="E11" s="62">
        <v>5.0</v>
      </c>
      <c r="F11" s="305">
        <f t="shared" si="1"/>
        <v>5</v>
      </c>
      <c r="G11" s="62">
        <v>5.0</v>
      </c>
      <c r="H11" s="62">
        <v>5.0</v>
      </c>
      <c r="I11" s="85">
        <f t="shared" si="2"/>
        <v>5</v>
      </c>
      <c r="J11" s="62">
        <v>5.0</v>
      </c>
      <c r="K11" s="476">
        <v>4.0</v>
      </c>
      <c r="L11" s="476">
        <v>4.0</v>
      </c>
      <c r="M11" s="476">
        <v>4.0</v>
      </c>
      <c r="N11" s="365">
        <f t="shared" si="3"/>
        <v>4</v>
      </c>
      <c r="O11" s="63">
        <v>6.0</v>
      </c>
      <c r="P11" s="62">
        <v>5.0</v>
      </c>
      <c r="Q11" s="62">
        <v>6.0</v>
      </c>
      <c r="R11" s="62">
        <v>6.0</v>
      </c>
      <c r="S11" s="62">
        <v>5.0</v>
      </c>
      <c r="T11" s="366">
        <f t="shared" si="4"/>
        <v>5.5</v>
      </c>
      <c r="U11" s="62">
        <v>5.0</v>
      </c>
      <c r="V11" s="62">
        <v>5.0</v>
      </c>
      <c r="W11" s="62">
        <v>6.0</v>
      </c>
      <c r="X11" s="68">
        <f t="shared" si="5"/>
        <v>5.333333333</v>
      </c>
      <c r="Y11" s="63">
        <v>5.0</v>
      </c>
      <c r="Z11" s="63">
        <v>5.0</v>
      </c>
      <c r="AA11" s="63">
        <v>5.0</v>
      </c>
      <c r="AB11" s="212">
        <f t="shared" si="6"/>
        <v>5.083333333</v>
      </c>
      <c r="AC11" s="250">
        <v>5.0</v>
      </c>
      <c r="AD11" s="477">
        <v>5.0</v>
      </c>
      <c r="AE11" s="477">
        <v>6.0</v>
      </c>
      <c r="AF11" s="477">
        <v>6.0</v>
      </c>
      <c r="AG11" s="67">
        <f t="shared" si="7"/>
        <v>5.666666667</v>
      </c>
      <c r="AH11" s="250">
        <v>5.0</v>
      </c>
      <c r="AI11" s="250">
        <v>5.0</v>
      </c>
      <c r="AJ11" s="476">
        <v>5.0</v>
      </c>
      <c r="AK11" s="476">
        <v>5.0</v>
      </c>
      <c r="AL11" s="70">
        <f t="shared" si="8"/>
        <v>5</v>
      </c>
      <c r="AM11" s="371">
        <f t="shared" si="9"/>
        <v>5.2</v>
      </c>
    </row>
    <row r="12" ht="18.75" customHeight="1">
      <c r="A12" s="74">
        <v>5.0</v>
      </c>
      <c r="B12" s="503" t="s">
        <v>696</v>
      </c>
      <c r="C12" s="62" t="s">
        <v>44</v>
      </c>
      <c r="D12" s="62">
        <v>6.0</v>
      </c>
      <c r="E12" s="62">
        <v>6.0</v>
      </c>
      <c r="F12" s="305">
        <f t="shared" si="1"/>
        <v>6</v>
      </c>
      <c r="G12" s="62">
        <v>6.0</v>
      </c>
      <c r="H12" s="62">
        <v>6.0</v>
      </c>
      <c r="I12" s="85">
        <f t="shared" si="2"/>
        <v>6</v>
      </c>
      <c r="J12" s="62">
        <v>5.0</v>
      </c>
      <c r="K12" s="62">
        <v>5.0</v>
      </c>
      <c r="L12" s="62">
        <v>5.0</v>
      </c>
      <c r="M12" s="62">
        <v>5.0</v>
      </c>
      <c r="N12" s="365">
        <f t="shared" si="3"/>
        <v>5</v>
      </c>
      <c r="O12" s="63">
        <v>6.0</v>
      </c>
      <c r="P12" s="62">
        <v>5.0</v>
      </c>
      <c r="Q12" s="62">
        <v>6.0</v>
      </c>
      <c r="R12" s="62">
        <v>6.0</v>
      </c>
      <c r="S12" s="62">
        <v>5.0</v>
      </c>
      <c r="T12" s="366">
        <f t="shared" si="4"/>
        <v>5.5</v>
      </c>
      <c r="U12" s="62">
        <v>6.0</v>
      </c>
      <c r="V12" s="62">
        <v>5.0</v>
      </c>
      <c r="W12" s="62">
        <v>6.0</v>
      </c>
      <c r="X12" s="68">
        <f t="shared" si="5"/>
        <v>5.666666667</v>
      </c>
      <c r="Y12" s="63">
        <v>5.0</v>
      </c>
      <c r="Z12" s="63">
        <v>5.0</v>
      </c>
      <c r="AA12" s="63">
        <v>5.0</v>
      </c>
      <c r="AB12" s="212">
        <f t="shared" si="6"/>
        <v>5.166666667</v>
      </c>
      <c r="AC12" s="250">
        <v>6.0</v>
      </c>
      <c r="AD12" s="477">
        <v>6.0</v>
      </c>
      <c r="AE12" s="477">
        <v>6.0</v>
      </c>
      <c r="AF12" s="477">
        <v>6.0</v>
      </c>
      <c r="AG12" s="67">
        <f t="shared" si="7"/>
        <v>6</v>
      </c>
      <c r="AH12" s="250">
        <v>5.0</v>
      </c>
      <c r="AI12" s="250">
        <v>5.0</v>
      </c>
      <c r="AJ12" s="476">
        <v>5.0</v>
      </c>
      <c r="AK12" s="476">
        <v>5.0</v>
      </c>
      <c r="AL12" s="70">
        <f t="shared" si="8"/>
        <v>5</v>
      </c>
      <c r="AM12" s="371">
        <f t="shared" si="9"/>
        <v>5.5</v>
      </c>
    </row>
    <row r="13" ht="18.0" customHeight="1">
      <c r="A13" s="74">
        <v>6.0</v>
      </c>
      <c r="B13" s="503" t="s">
        <v>697</v>
      </c>
      <c r="C13" s="62" t="s">
        <v>44</v>
      </c>
      <c r="D13" s="62">
        <v>6.0</v>
      </c>
      <c r="E13" s="62">
        <v>5.0</v>
      </c>
      <c r="F13" s="305">
        <f t="shared" si="1"/>
        <v>5.5</v>
      </c>
      <c r="G13" s="62">
        <v>5.0</v>
      </c>
      <c r="H13" s="62">
        <v>5.0</v>
      </c>
      <c r="I13" s="85">
        <f t="shared" si="2"/>
        <v>5</v>
      </c>
      <c r="J13" s="62">
        <v>5.0</v>
      </c>
      <c r="K13" s="62">
        <v>5.0</v>
      </c>
      <c r="L13" s="62">
        <v>5.0</v>
      </c>
      <c r="M13" s="62">
        <v>5.0</v>
      </c>
      <c r="N13" s="365">
        <f t="shared" si="3"/>
        <v>5</v>
      </c>
      <c r="O13" s="63">
        <v>6.0</v>
      </c>
      <c r="P13" s="62">
        <v>5.0</v>
      </c>
      <c r="Q13" s="62">
        <v>6.0</v>
      </c>
      <c r="R13" s="62">
        <v>6.0</v>
      </c>
      <c r="S13" s="62">
        <v>5.0</v>
      </c>
      <c r="T13" s="366">
        <f t="shared" si="4"/>
        <v>5.5</v>
      </c>
      <c r="U13" s="62">
        <v>6.0</v>
      </c>
      <c r="V13" s="62">
        <v>5.0</v>
      </c>
      <c r="W13" s="62">
        <v>6.0</v>
      </c>
      <c r="X13" s="68">
        <f t="shared" si="5"/>
        <v>5.666666667</v>
      </c>
      <c r="Y13" s="63">
        <v>5.0</v>
      </c>
      <c r="Z13" s="63">
        <v>5.0</v>
      </c>
      <c r="AA13" s="63">
        <v>5.0</v>
      </c>
      <c r="AB13" s="212">
        <f t="shared" si="6"/>
        <v>5.166666667</v>
      </c>
      <c r="AC13" s="63">
        <v>6.0</v>
      </c>
      <c r="AD13" s="63">
        <v>6.0</v>
      </c>
      <c r="AE13" s="63">
        <v>6.0</v>
      </c>
      <c r="AF13" s="63">
        <v>6.0</v>
      </c>
      <c r="AG13" s="67">
        <f t="shared" si="7"/>
        <v>6</v>
      </c>
      <c r="AH13" s="250">
        <v>5.0</v>
      </c>
      <c r="AI13" s="250">
        <v>5.0</v>
      </c>
      <c r="AJ13" s="476">
        <v>5.0</v>
      </c>
      <c r="AK13" s="476">
        <v>5.0</v>
      </c>
      <c r="AL13" s="70">
        <f t="shared" si="8"/>
        <v>5</v>
      </c>
      <c r="AM13" s="371">
        <f t="shared" si="9"/>
        <v>5.5</v>
      </c>
    </row>
    <row r="14" ht="18.0" customHeight="1">
      <c r="A14" s="74">
        <v>7.0</v>
      </c>
      <c r="B14" s="503" t="s">
        <v>698</v>
      </c>
      <c r="C14" s="62" t="s">
        <v>44</v>
      </c>
      <c r="D14" s="62">
        <v>4.0</v>
      </c>
      <c r="E14" s="62">
        <v>5.0</v>
      </c>
      <c r="F14" s="305">
        <f t="shared" si="1"/>
        <v>4.5</v>
      </c>
      <c r="G14" s="62">
        <v>4.0</v>
      </c>
      <c r="H14" s="62">
        <v>4.0</v>
      </c>
      <c r="I14" s="85">
        <f t="shared" si="2"/>
        <v>4</v>
      </c>
      <c r="J14" s="62">
        <v>5.0</v>
      </c>
      <c r="K14" s="476">
        <v>4.0</v>
      </c>
      <c r="L14" s="476">
        <v>4.0</v>
      </c>
      <c r="M14" s="476">
        <v>4.0</v>
      </c>
      <c r="N14" s="365">
        <f t="shared" si="3"/>
        <v>4</v>
      </c>
      <c r="O14" s="63">
        <v>6.0</v>
      </c>
      <c r="P14" s="62">
        <v>5.0</v>
      </c>
      <c r="Q14" s="62">
        <v>5.0</v>
      </c>
      <c r="R14" s="62">
        <v>6.0</v>
      </c>
      <c r="S14" s="62">
        <v>5.0</v>
      </c>
      <c r="T14" s="366">
        <f t="shared" si="4"/>
        <v>5.5</v>
      </c>
      <c r="U14" s="62">
        <v>5.0</v>
      </c>
      <c r="V14" s="62">
        <v>5.0</v>
      </c>
      <c r="W14" s="62">
        <v>5.0</v>
      </c>
      <c r="X14" s="68">
        <f t="shared" si="5"/>
        <v>5</v>
      </c>
      <c r="Y14" s="63">
        <v>5.0</v>
      </c>
      <c r="Z14" s="63">
        <v>5.0</v>
      </c>
      <c r="AA14" s="63">
        <v>5.0</v>
      </c>
      <c r="AB14" s="212">
        <f t="shared" si="6"/>
        <v>5</v>
      </c>
      <c r="AC14" s="63">
        <v>5.0</v>
      </c>
      <c r="AD14" s="63">
        <v>5.0</v>
      </c>
      <c r="AE14" s="63">
        <v>6.0</v>
      </c>
      <c r="AF14" s="63">
        <v>6.0</v>
      </c>
      <c r="AG14" s="67">
        <f t="shared" si="7"/>
        <v>5.666666667</v>
      </c>
      <c r="AH14" s="250">
        <v>5.0</v>
      </c>
      <c r="AI14" s="250">
        <v>5.0</v>
      </c>
      <c r="AJ14" s="476">
        <v>5.0</v>
      </c>
      <c r="AK14" s="476">
        <v>5.0</v>
      </c>
      <c r="AL14" s="70">
        <f t="shared" si="8"/>
        <v>5</v>
      </c>
      <c r="AM14" s="371">
        <f t="shared" si="9"/>
        <v>5.1</v>
      </c>
    </row>
    <row r="15" ht="18.0" customHeight="1">
      <c r="A15" s="74">
        <v>8.0</v>
      </c>
      <c r="B15" s="504" t="s">
        <v>699</v>
      </c>
      <c r="C15" s="62" t="s">
        <v>45</v>
      </c>
      <c r="D15" s="62">
        <v>3.0</v>
      </c>
      <c r="E15" s="62">
        <v>3.0</v>
      </c>
      <c r="F15" s="305">
        <f t="shared" si="1"/>
        <v>3</v>
      </c>
      <c r="G15" s="62">
        <v>3.0</v>
      </c>
      <c r="H15" s="62">
        <v>3.0</v>
      </c>
      <c r="I15" s="85">
        <f t="shared" si="2"/>
        <v>3</v>
      </c>
      <c r="J15" s="62">
        <v>4.0</v>
      </c>
      <c r="K15" s="62">
        <v>3.0</v>
      </c>
      <c r="L15" s="62">
        <v>3.0</v>
      </c>
      <c r="M15" s="62">
        <v>3.0</v>
      </c>
      <c r="N15" s="365">
        <f t="shared" si="3"/>
        <v>3</v>
      </c>
      <c r="O15" s="63">
        <v>6.0</v>
      </c>
      <c r="P15" s="62">
        <v>5.0</v>
      </c>
      <c r="Q15" s="62">
        <v>4.0</v>
      </c>
      <c r="R15" s="62">
        <v>5.0</v>
      </c>
      <c r="S15" s="62">
        <v>5.0</v>
      </c>
      <c r="T15" s="366">
        <f t="shared" si="4"/>
        <v>5</v>
      </c>
      <c r="U15" s="62">
        <v>5.0</v>
      </c>
      <c r="V15" s="62">
        <v>5.0</v>
      </c>
      <c r="W15" s="62">
        <v>5.0</v>
      </c>
      <c r="X15" s="68">
        <f t="shared" si="5"/>
        <v>5</v>
      </c>
      <c r="Y15" s="63">
        <v>4.0</v>
      </c>
      <c r="Z15" s="63">
        <v>5.0</v>
      </c>
      <c r="AA15" s="63">
        <v>5.0</v>
      </c>
      <c r="AB15" s="212">
        <f t="shared" si="6"/>
        <v>4.75</v>
      </c>
      <c r="AC15" s="63">
        <v>5.0</v>
      </c>
      <c r="AD15" s="63">
        <v>5.0</v>
      </c>
      <c r="AE15" s="63">
        <v>6.0</v>
      </c>
      <c r="AF15" s="63">
        <v>6.0</v>
      </c>
      <c r="AG15" s="67">
        <f t="shared" si="7"/>
        <v>5.666666667</v>
      </c>
      <c r="AH15" s="250">
        <v>3.0</v>
      </c>
      <c r="AI15" s="250">
        <v>3.0</v>
      </c>
      <c r="AJ15" s="476">
        <v>3.0</v>
      </c>
      <c r="AK15" s="476">
        <v>3.0</v>
      </c>
      <c r="AL15" s="70">
        <f t="shared" si="8"/>
        <v>3</v>
      </c>
      <c r="AM15" s="371">
        <f t="shared" si="9"/>
        <v>4.3</v>
      </c>
    </row>
    <row r="16" ht="18.75" customHeight="1">
      <c r="A16" s="74">
        <v>9.0</v>
      </c>
      <c r="B16" s="503" t="s">
        <v>700</v>
      </c>
      <c r="C16" s="62" t="s">
        <v>45</v>
      </c>
      <c r="D16" s="62">
        <v>6.0</v>
      </c>
      <c r="E16" s="62">
        <v>5.0</v>
      </c>
      <c r="F16" s="305">
        <f t="shared" si="1"/>
        <v>5.5</v>
      </c>
      <c r="G16" s="62">
        <v>5.0</v>
      </c>
      <c r="H16" s="62">
        <v>5.0</v>
      </c>
      <c r="I16" s="85">
        <f t="shared" si="2"/>
        <v>5</v>
      </c>
      <c r="J16" s="62">
        <v>5.0</v>
      </c>
      <c r="K16" s="62">
        <v>6.0</v>
      </c>
      <c r="L16" s="62">
        <v>6.0</v>
      </c>
      <c r="M16" s="62">
        <v>6.0</v>
      </c>
      <c r="N16" s="365">
        <f t="shared" si="3"/>
        <v>6</v>
      </c>
      <c r="O16" s="63">
        <v>6.0</v>
      </c>
      <c r="P16" s="62">
        <v>5.0</v>
      </c>
      <c r="Q16" s="62">
        <v>6.0</v>
      </c>
      <c r="R16" s="62">
        <v>6.0</v>
      </c>
      <c r="S16" s="62">
        <v>5.0</v>
      </c>
      <c r="T16" s="366">
        <f t="shared" si="4"/>
        <v>5.5</v>
      </c>
      <c r="U16" s="62">
        <v>6.0</v>
      </c>
      <c r="V16" s="62">
        <v>5.0</v>
      </c>
      <c r="W16" s="62">
        <v>6.0</v>
      </c>
      <c r="X16" s="68">
        <f t="shared" si="5"/>
        <v>5.666666667</v>
      </c>
      <c r="Y16" s="63">
        <v>5.0</v>
      </c>
      <c r="Z16" s="63">
        <v>5.0</v>
      </c>
      <c r="AA16" s="63">
        <v>5.0</v>
      </c>
      <c r="AB16" s="212">
        <f t="shared" si="6"/>
        <v>5.166666667</v>
      </c>
      <c r="AC16" s="63">
        <v>5.0</v>
      </c>
      <c r="AD16" s="63">
        <v>5.0</v>
      </c>
      <c r="AE16" s="63">
        <v>6.0</v>
      </c>
      <c r="AF16" s="63">
        <v>6.0</v>
      </c>
      <c r="AG16" s="67">
        <f t="shared" si="7"/>
        <v>5.666666667</v>
      </c>
      <c r="AH16" s="250">
        <v>5.0</v>
      </c>
      <c r="AI16" s="250">
        <v>5.0</v>
      </c>
      <c r="AJ16" s="476">
        <v>5.0</v>
      </c>
      <c r="AK16" s="476">
        <v>5.0</v>
      </c>
      <c r="AL16" s="70">
        <f t="shared" si="8"/>
        <v>5</v>
      </c>
      <c r="AM16" s="371">
        <f t="shared" si="9"/>
        <v>5.5</v>
      </c>
    </row>
    <row r="17" ht="18.75" customHeight="1">
      <c r="A17" s="74">
        <v>10.0</v>
      </c>
      <c r="B17" s="503" t="s">
        <v>701</v>
      </c>
      <c r="C17" s="62" t="s">
        <v>45</v>
      </c>
      <c r="D17" s="62">
        <v>5.0</v>
      </c>
      <c r="E17" s="62">
        <v>5.0</v>
      </c>
      <c r="F17" s="305">
        <f t="shared" si="1"/>
        <v>5</v>
      </c>
      <c r="G17" s="62">
        <v>4.0</v>
      </c>
      <c r="H17" s="62">
        <v>4.0</v>
      </c>
      <c r="I17" s="85">
        <f t="shared" si="2"/>
        <v>4</v>
      </c>
      <c r="J17" s="62">
        <v>5.0</v>
      </c>
      <c r="K17" s="476">
        <v>5.0</v>
      </c>
      <c r="L17" s="476">
        <v>5.0</v>
      </c>
      <c r="M17" s="476">
        <v>5.0</v>
      </c>
      <c r="N17" s="365">
        <f t="shared" si="3"/>
        <v>5</v>
      </c>
      <c r="O17" s="63">
        <v>6.0</v>
      </c>
      <c r="P17" s="62">
        <v>5.0</v>
      </c>
      <c r="Q17" s="62">
        <v>6.0</v>
      </c>
      <c r="R17" s="62">
        <v>6.0</v>
      </c>
      <c r="S17" s="62">
        <v>5.0</v>
      </c>
      <c r="T17" s="366">
        <f t="shared" si="4"/>
        <v>5.5</v>
      </c>
      <c r="U17" s="62">
        <v>5.0</v>
      </c>
      <c r="V17" s="62">
        <v>5.0</v>
      </c>
      <c r="W17" s="62">
        <v>5.0</v>
      </c>
      <c r="X17" s="68">
        <f t="shared" si="5"/>
        <v>5</v>
      </c>
      <c r="Y17" s="63">
        <v>5.0</v>
      </c>
      <c r="Z17" s="63">
        <v>5.0</v>
      </c>
      <c r="AA17" s="63">
        <v>5.0</v>
      </c>
      <c r="AB17" s="212">
        <f t="shared" si="6"/>
        <v>5</v>
      </c>
      <c r="AC17" s="63">
        <v>5.0</v>
      </c>
      <c r="AD17" s="63">
        <v>5.0</v>
      </c>
      <c r="AE17" s="63">
        <v>6.0</v>
      </c>
      <c r="AF17" s="63">
        <v>6.0</v>
      </c>
      <c r="AG17" s="67">
        <f t="shared" si="7"/>
        <v>5.666666667</v>
      </c>
      <c r="AH17" s="250">
        <v>4.0</v>
      </c>
      <c r="AI17" s="250">
        <v>4.0</v>
      </c>
      <c r="AJ17" s="476">
        <v>4.0</v>
      </c>
      <c r="AK17" s="476">
        <v>4.0</v>
      </c>
      <c r="AL17" s="70">
        <f t="shared" si="8"/>
        <v>4</v>
      </c>
      <c r="AM17" s="371">
        <f t="shared" si="9"/>
        <v>5.1</v>
      </c>
    </row>
    <row r="18" ht="18.0" customHeight="1">
      <c r="A18" s="74">
        <v>11.0</v>
      </c>
      <c r="B18" s="503" t="s">
        <v>702</v>
      </c>
      <c r="C18" s="62" t="s">
        <v>44</v>
      </c>
      <c r="D18" s="62">
        <v>6.0</v>
      </c>
      <c r="E18" s="62">
        <v>5.0</v>
      </c>
      <c r="F18" s="305">
        <f t="shared" si="1"/>
        <v>5.5</v>
      </c>
      <c r="G18" s="62">
        <v>5.0</v>
      </c>
      <c r="H18" s="62">
        <v>5.0</v>
      </c>
      <c r="I18" s="85">
        <f t="shared" si="2"/>
        <v>5</v>
      </c>
      <c r="J18" s="62">
        <v>5.0</v>
      </c>
      <c r="K18" s="62">
        <v>6.0</v>
      </c>
      <c r="L18" s="62">
        <v>6.0</v>
      </c>
      <c r="M18" s="62">
        <v>6.0</v>
      </c>
      <c r="N18" s="365">
        <f t="shared" si="3"/>
        <v>6</v>
      </c>
      <c r="O18" s="63">
        <v>6.0</v>
      </c>
      <c r="P18" s="62">
        <v>5.0</v>
      </c>
      <c r="Q18" s="62">
        <v>6.0</v>
      </c>
      <c r="R18" s="62">
        <v>6.0</v>
      </c>
      <c r="S18" s="62">
        <v>5.0</v>
      </c>
      <c r="T18" s="366">
        <f t="shared" si="4"/>
        <v>5.5</v>
      </c>
      <c r="U18" s="62">
        <v>6.0</v>
      </c>
      <c r="V18" s="62">
        <v>5.0</v>
      </c>
      <c r="W18" s="62">
        <v>6.0</v>
      </c>
      <c r="X18" s="68">
        <f t="shared" si="5"/>
        <v>5.666666667</v>
      </c>
      <c r="Y18" s="63">
        <v>5.0</v>
      </c>
      <c r="Z18" s="63">
        <v>5.0</v>
      </c>
      <c r="AA18" s="63">
        <v>5.0</v>
      </c>
      <c r="AB18" s="212">
        <f t="shared" si="6"/>
        <v>5.166666667</v>
      </c>
      <c r="AC18" s="63">
        <v>5.0</v>
      </c>
      <c r="AD18" s="63">
        <v>5.0</v>
      </c>
      <c r="AE18" s="63">
        <v>6.0</v>
      </c>
      <c r="AF18" s="63">
        <v>6.0</v>
      </c>
      <c r="AG18" s="67">
        <f t="shared" si="7"/>
        <v>5.666666667</v>
      </c>
      <c r="AH18" s="250">
        <v>5.0</v>
      </c>
      <c r="AI18" s="250">
        <v>5.0</v>
      </c>
      <c r="AJ18" s="476">
        <v>5.0</v>
      </c>
      <c r="AK18" s="476">
        <v>5.0</v>
      </c>
      <c r="AL18" s="70">
        <f t="shared" si="8"/>
        <v>5</v>
      </c>
      <c r="AM18" s="371">
        <f t="shared" si="9"/>
        <v>5.5</v>
      </c>
    </row>
    <row r="19" ht="18.75" customHeight="1">
      <c r="A19" s="74">
        <v>12.0</v>
      </c>
      <c r="B19" s="503" t="s">
        <v>703</v>
      </c>
      <c r="C19" s="62" t="s">
        <v>44</v>
      </c>
      <c r="D19" s="62">
        <v>6.0</v>
      </c>
      <c r="E19" s="62">
        <v>5.0</v>
      </c>
      <c r="F19" s="305">
        <f t="shared" si="1"/>
        <v>5.5</v>
      </c>
      <c r="G19" s="62">
        <v>5.0</v>
      </c>
      <c r="H19" s="62">
        <v>5.0</v>
      </c>
      <c r="I19" s="85">
        <f t="shared" si="2"/>
        <v>5</v>
      </c>
      <c r="J19" s="62">
        <v>5.0</v>
      </c>
      <c r="K19" s="62">
        <v>6.0</v>
      </c>
      <c r="L19" s="62">
        <v>6.0</v>
      </c>
      <c r="M19" s="62">
        <v>6.0</v>
      </c>
      <c r="N19" s="365">
        <f t="shared" si="3"/>
        <v>6</v>
      </c>
      <c r="O19" s="63">
        <v>6.0</v>
      </c>
      <c r="P19" s="62">
        <v>5.0</v>
      </c>
      <c r="Q19" s="62">
        <v>6.0</v>
      </c>
      <c r="R19" s="62">
        <v>6.0</v>
      </c>
      <c r="S19" s="62">
        <v>5.0</v>
      </c>
      <c r="T19" s="366">
        <f t="shared" si="4"/>
        <v>5.5</v>
      </c>
      <c r="U19" s="62">
        <v>6.0</v>
      </c>
      <c r="V19" s="62">
        <v>5.0</v>
      </c>
      <c r="W19" s="62">
        <v>6.0</v>
      </c>
      <c r="X19" s="68">
        <f t="shared" si="5"/>
        <v>5.666666667</v>
      </c>
      <c r="Y19" s="63">
        <v>5.0</v>
      </c>
      <c r="Z19" s="63">
        <v>5.0</v>
      </c>
      <c r="AA19" s="63">
        <v>5.0</v>
      </c>
      <c r="AB19" s="212">
        <f t="shared" si="6"/>
        <v>5.166666667</v>
      </c>
      <c r="AC19" s="63">
        <v>5.0</v>
      </c>
      <c r="AD19" s="63">
        <v>5.0</v>
      </c>
      <c r="AE19" s="63">
        <v>6.0</v>
      </c>
      <c r="AF19" s="477">
        <v>6.0</v>
      </c>
      <c r="AG19" s="67">
        <f t="shared" si="7"/>
        <v>5.666666667</v>
      </c>
      <c r="AH19" s="250">
        <v>5.0</v>
      </c>
      <c r="AI19" s="250">
        <v>5.0</v>
      </c>
      <c r="AJ19" s="476">
        <v>5.0</v>
      </c>
      <c r="AK19" s="476">
        <v>5.0</v>
      </c>
      <c r="AL19" s="70">
        <f t="shared" si="8"/>
        <v>5</v>
      </c>
      <c r="AM19" s="371">
        <f t="shared" si="9"/>
        <v>5.5</v>
      </c>
    </row>
    <row r="20" ht="18.75" customHeight="1">
      <c r="A20" s="74">
        <v>13.0</v>
      </c>
      <c r="B20" s="503" t="s">
        <v>704</v>
      </c>
      <c r="C20" s="62" t="s">
        <v>45</v>
      </c>
      <c r="D20" s="62">
        <v>4.0</v>
      </c>
      <c r="E20" s="62">
        <v>4.0</v>
      </c>
      <c r="F20" s="305">
        <f t="shared" si="1"/>
        <v>4</v>
      </c>
      <c r="G20" s="62">
        <v>4.0</v>
      </c>
      <c r="H20" s="62">
        <v>4.0</v>
      </c>
      <c r="I20" s="85">
        <f t="shared" si="2"/>
        <v>4</v>
      </c>
      <c r="J20" s="62">
        <v>5.0</v>
      </c>
      <c r="K20" s="62">
        <v>4.0</v>
      </c>
      <c r="L20" s="62">
        <v>4.0</v>
      </c>
      <c r="M20" s="62">
        <v>4.0</v>
      </c>
      <c r="N20" s="365">
        <f t="shared" si="3"/>
        <v>4</v>
      </c>
      <c r="O20" s="63">
        <v>6.0</v>
      </c>
      <c r="P20" s="62">
        <v>5.0</v>
      </c>
      <c r="Q20" s="62">
        <v>5.0</v>
      </c>
      <c r="R20" s="62">
        <v>5.0</v>
      </c>
      <c r="S20" s="62">
        <v>5.0</v>
      </c>
      <c r="T20" s="366">
        <f t="shared" si="4"/>
        <v>5</v>
      </c>
      <c r="U20" s="62">
        <v>5.0</v>
      </c>
      <c r="V20" s="62">
        <v>5.0</v>
      </c>
      <c r="W20" s="62">
        <v>5.0</v>
      </c>
      <c r="X20" s="68">
        <f t="shared" si="5"/>
        <v>5</v>
      </c>
      <c r="Y20" s="63">
        <v>4.0</v>
      </c>
      <c r="Z20" s="63">
        <v>5.0</v>
      </c>
      <c r="AA20" s="63">
        <v>5.0</v>
      </c>
      <c r="AB20" s="212">
        <f t="shared" si="6"/>
        <v>4.75</v>
      </c>
      <c r="AC20" s="63">
        <v>5.0</v>
      </c>
      <c r="AD20" s="63">
        <v>5.0</v>
      </c>
      <c r="AE20" s="63">
        <v>6.0</v>
      </c>
      <c r="AF20" s="63">
        <v>6.0</v>
      </c>
      <c r="AG20" s="67">
        <f t="shared" si="7"/>
        <v>5.666666667</v>
      </c>
      <c r="AH20" s="250">
        <v>4.0</v>
      </c>
      <c r="AI20" s="250">
        <v>4.0</v>
      </c>
      <c r="AJ20" s="476">
        <v>4.0</v>
      </c>
      <c r="AK20" s="476">
        <v>4.0</v>
      </c>
      <c r="AL20" s="70">
        <f t="shared" si="8"/>
        <v>4</v>
      </c>
      <c r="AM20" s="371">
        <f t="shared" si="9"/>
        <v>4.7</v>
      </c>
    </row>
    <row r="21" ht="18.75" customHeight="1">
      <c r="A21" s="74">
        <v>14.0</v>
      </c>
      <c r="B21" s="503" t="s">
        <v>705</v>
      </c>
      <c r="C21" s="62" t="s">
        <v>44</v>
      </c>
      <c r="D21" s="62">
        <v>6.0</v>
      </c>
      <c r="E21" s="62">
        <v>5.0</v>
      </c>
      <c r="F21" s="305">
        <f t="shared" si="1"/>
        <v>5.5</v>
      </c>
      <c r="G21" s="62">
        <v>5.0</v>
      </c>
      <c r="H21" s="62">
        <v>5.0</v>
      </c>
      <c r="I21" s="85">
        <f t="shared" si="2"/>
        <v>5</v>
      </c>
      <c r="J21" s="62">
        <v>5.0</v>
      </c>
      <c r="K21" s="62">
        <v>5.0</v>
      </c>
      <c r="L21" s="62">
        <v>5.0</v>
      </c>
      <c r="M21" s="62">
        <v>5.0</v>
      </c>
      <c r="N21" s="365">
        <f t="shared" si="3"/>
        <v>5</v>
      </c>
      <c r="O21" s="63">
        <v>6.0</v>
      </c>
      <c r="P21" s="62">
        <v>5.0</v>
      </c>
      <c r="Q21" s="62">
        <v>6.0</v>
      </c>
      <c r="R21" s="62">
        <v>6.0</v>
      </c>
      <c r="S21" s="62">
        <v>5.0</v>
      </c>
      <c r="T21" s="366">
        <f t="shared" si="4"/>
        <v>5.5</v>
      </c>
      <c r="U21" s="62">
        <v>6.0</v>
      </c>
      <c r="V21" s="62">
        <v>5.0</v>
      </c>
      <c r="W21" s="62">
        <v>6.0</v>
      </c>
      <c r="X21" s="68">
        <f t="shared" si="5"/>
        <v>5.666666667</v>
      </c>
      <c r="Y21" s="63">
        <v>5.0</v>
      </c>
      <c r="Z21" s="63">
        <v>5.0</v>
      </c>
      <c r="AA21" s="63">
        <v>5.0</v>
      </c>
      <c r="AB21" s="212">
        <f t="shared" si="6"/>
        <v>5.166666667</v>
      </c>
      <c r="AC21" s="63">
        <v>5.0</v>
      </c>
      <c r="AD21" s="63">
        <v>5.0</v>
      </c>
      <c r="AE21" s="63">
        <v>6.0</v>
      </c>
      <c r="AF21" s="63">
        <v>6.0</v>
      </c>
      <c r="AG21" s="67">
        <f t="shared" si="7"/>
        <v>5.666666667</v>
      </c>
      <c r="AH21" s="250">
        <v>5.0</v>
      </c>
      <c r="AI21" s="250">
        <v>5.0</v>
      </c>
      <c r="AJ21" s="476">
        <v>5.0</v>
      </c>
      <c r="AK21" s="476">
        <v>5.0</v>
      </c>
      <c r="AL21" s="70">
        <f t="shared" si="8"/>
        <v>5</v>
      </c>
      <c r="AM21" s="371">
        <f t="shared" si="9"/>
        <v>5.4</v>
      </c>
    </row>
    <row r="22" ht="18.75" customHeight="1">
      <c r="A22" s="74">
        <v>15.0</v>
      </c>
      <c r="B22" s="503" t="s">
        <v>706</v>
      </c>
      <c r="C22" s="62" t="s">
        <v>44</v>
      </c>
      <c r="D22" s="62">
        <v>5.0</v>
      </c>
      <c r="E22" s="62">
        <v>5.0</v>
      </c>
      <c r="F22" s="305">
        <f t="shared" si="1"/>
        <v>5</v>
      </c>
      <c r="G22" s="62">
        <v>5.0</v>
      </c>
      <c r="H22" s="62">
        <v>5.0</v>
      </c>
      <c r="I22" s="85">
        <f t="shared" si="2"/>
        <v>5</v>
      </c>
      <c r="J22" s="62">
        <v>5.0</v>
      </c>
      <c r="K22" s="62">
        <v>5.0</v>
      </c>
      <c r="L22" s="62">
        <v>5.0</v>
      </c>
      <c r="M22" s="62">
        <v>5.0</v>
      </c>
      <c r="N22" s="365">
        <f t="shared" si="3"/>
        <v>5</v>
      </c>
      <c r="O22" s="63">
        <v>6.0</v>
      </c>
      <c r="P22" s="62">
        <v>5.0</v>
      </c>
      <c r="Q22" s="62">
        <v>6.0</v>
      </c>
      <c r="R22" s="62">
        <v>6.0</v>
      </c>
      <c r="S22" s="62">
        <v>5.0</v>
      </c>
      <c r="T22" s="366">
        <f t="shared" si="4"/>
        <v>5.5</v>
      </c>
      <c r="U22" s="62">
        <v>5.0</v>
      </c>
      <c r="V22" s="62">
        <v>5.0</v>
      </c>
      <c r="W22" s="62">
        <v>6.0</v>
      </c>
      <c r="X22" s="68">
        <f t="shared" si="5"/>
        <v>5.333333333</v>
      </c>
      <c r="Y22" s="63">
        <v>4.0</v>
      </c>
      <c r="Z22" s="63">
        <v>5.0</v>
      </c>
      <c r="AA22" s="63">
        <v>5.0</v>
      </c>
      <c r="AB22" s="212">
        <f t="shared" si="6"/>
        <v>4.833333333</v>
      </c>
      <c r="AC22" s="63">
        <v>5.0</v>
      </c>
      <c r="AD22" s="63">
        <v>5.0</v>
      </c>
      <c r="AE22" s="63">
        <v>6.0</v>
      </c>
      <c r="AF22" s="63">
        <v>6.0</v>
      </c>
      <c r="AG22" s="67">
        <f t="shared" si="7"/>
        <v>5.666666667</v>
      </c>
      <c r="AH22" s="250">
        <v>5.0</v>
      </c>
      <c r="AI22" s="250">
        <v>5.0</v>
      </c>
      <c r="AJ22" s="476">
        <v>4.0</v>
      </c>
      <c r="AK22" s="476">
        <v>5.0</v>
      </c>
      <c r="AL22" s="70">
        <f t="shared" si="8"/>
        <v>4.666666667</v>
      </c>
      <c r="AM22" s="371">
        <f t="shared" si="9"/>
        <v>5.166666667</v>
      </c>
    </row>
    <row r="23" ht="19.5" customHeight="1">
      <c r="A23" s="74">
        <v>16.0</v>
      </c>
      <c r="B23" s="503" t="s">
        <v>707</v>
      </c>
      <c r="C23" s="62" t="s">
        <v>44</v>
      </c>
      <c r="D23" s="62">
        <v>6.0</v>
      </c>
      <c r="E23" s="62">
        <v>5.0</v>
      </c>
      <c r="F23" s="305">
        <f t="shared" si="1"/>
        <v>5.5</v>
      </c>
      <c r="G23" s="62">
        <v>5.0</v>
      </c>
      <c r="H23" s="62">
        <v>5.0</v>
      </c>
      <c r="I23" s="85">
        <f t="shared" si="2"/>
        <v>5</v>
      </c>
      <c r="J23" s="62">
        <v>6.0</v>
      </c>
      <c r="K23" s="62">
        <v>6.0</v>
      </c>
      <c r="L23" s="62">
        <v>6.0</v>
      </c>
      <c r="M23" s="62">
        <v>6.0</v>
      </c>
      <c r="N23" s="365">
        <f t="shared" si="3"/>
        <v>6</v>
      </c>
      <c r="O23" s="63">
        <v>6.0</v>
      </c>
      <c r="P23" s="62">
        <v>5.0</v>
      </c>
      <c r="Q23" s="62">
        <v>6.0</v>
      </c>
      <c r="R23" s="62">
        <v>6.0</v>
      </c>
      <c r="S23" s="62">
        <v>5.0</v>
      </c>
      <c r="T23" s="366">
        <f t="shared" si="4"/>
        <v>5.5</v>
      </c>
      <c r="U23" s="62">
        <v>6.0</v>
      </c>
      <c r="V23" s="62">
        <v>5.0</v>
      </c>
      <c r="W23" s="62">
        <v>6.0</v>
      </c>
      <c r="X23" s="68">
        <f t="shared" si="5"/>
        <v>5.666666667</v>
      </c>
      <c r="Y23" s="63">
        <v>5.0</v>
      </c>
      <c r="Z23" s="63">
        <v>5.0</v>
      </c>
      <c r="AA23" s="63">
        <v>5.0</v>
      </c>
      <c r="AB23" s="212">
        <f t="shared" si="6"/>
        <v>5.166666667</v>
      </c>
      <c r="AC23" s="63">
        <v>5.0</v>
      </c>
      <c r="AD23" s="63">
        <v>5.0</v>
      </c>
      <c r="AE23" s="63">
        <v>6.0</v>
      </c>
      <c r="AF23" s="63">
        <v>6.0</v>
      </c>
      <c r="AG23" s="67">
        <f t="shared" si="7"/>
        <v>5.666666667</v>
      </c>
      <c r="AH23" s="250">
        <v>5.0</v>
      </c>
      <c r="AI23" s="250">
        <v>5.0</v>
      </c>
      <c r="AJ23" s="476">
        <v>5.0</v>
      </c>
      <c r="AK23" s="476">
        <v>5.0</v>
      </c>
      <c r="AL23" s="70">
        <f t="shared" si="8"/>
        <v>5</v>
      </c>
      <c r="AM23" s="371">
        <f t="shared" si="9"/>
        <v>5.5</v>
      </c>
    </row>
    <row r="24" ht="19.5" customHeight="1">
      <c r="A24" s="74">
        <v>17.0</v>
      </c>
      <c r="B24" s="503" t="s">
        <v>708</v>
      </c>
      <c r="C24" s="62" t="s">
        <v>44</v>
      </c>
      <c r="D24" s="62">
        <v>6.0</v>
      </c>
      <c r="E24" s="62">
        <v>5.0</v>
      </c>
      <c r="F24" s="305">
        <f t="shared" si="1"/>
        <v>5.5</v>
      </c>
      <c r="G24" s="62">
        <v>5.0</v>
      </c>
      <c r="H24" s="62">
        <v>5.0</v>
      </c>
      <c r="I24" s="85">
        <f t="shared" si="2"/>
        <v>5</v>
      </c>
      <c r="J24" s="62">
        <v>5.0</v>
      </c>
      <c r="K24" s="62">
        <v>5.0</v>
      </c>
      <c r="L24" s="62">
        <v>5.0</v>
      </c>
      <c r="M24" s="62">
        <v>5.0</v>
      </c>
      <c r="N24" s="365">
        <f t="shared" si="3"/>
        <v>5</v>
      </c>
      <c r="O24" s="63">
        <v>6.0</v>
      </c>
      <c r="P24" s="62">
        <v>5.0</v>
      </c>
      <c r="Q24" s="62">
        <v>6.0</v>
      </c>
      <c r="R24" s="62">
        <v>6.0</v>
      </c>
      <c r="S24" s="62">
        <v>5.0</v>
      </c>
      <c r="T24" s="366">
        <f t="shared" si="4"/>
        <v>5.5</v>
      </c>
      <c r="U24" s="62">
        <v>5.0</v>
      </c>
      <c r="V24" s="62">
        <v>5.0</v>
      </c>
      <c r="W24" s="62">
        <v>6.0</v>
      </c>
      <c r="X24" s="68">
        <f t="shared" si="5"/>
        <v>5.333333333</v>
      </c>
      <c r="Y24" s="63">
        <v>5.0</v>
      </c>
      <c r="Z24" s="63">
        <v>5.0</v>
      </c>
      <c r="AA24" s="63">
        <v>5.0</v>
      </c>
      <c r="AB24" s="212">
        <f t="shared" si="6"/>
        <v>5.083333333</v>
      </c>
      <c r="AC24" s="63">
        <v>5.0</v>
      </c>
      <c r="AD24" s="63">
        <v>5.0</v>
      </c>
      <c r="AE24" s="63">
        <v>6.0</v>
      </c>
      <c r="AF24" s="63">
        <v>6.0</v>
      </c>
      <c r="AG24" s="67">
        <f t="shared" si="7"/>
        <v>5.666666667</v>
      </c>
      <c r="AH24" s="250">
        <v>5.0</v>
      </c>
      <c r="AI24" s="250">
        <v>5.0</v>
      </c>
      <c r="AJ24" s="476">
        <v>5.0</v>
      </c>
      <c r="AK24" s="476">
        <v>5.0</v>
      </c>
      <c r="AL24" s="70">
        <f t="shared" si="8"/>
        <v>5</v>
      </c>
      <c r="AM24" s="371">
        <f t="shared" si="9"/>
        <v>5.3</v>
      </c>
    </row>
    <row r="25" ht="19.5" customHeight="1">
      <c r="A25" s="74">
        <v>18.0</v>
      </c>
      <c r="B25" s="504" t="s">
        <v>709</v>
      </c>
      <c r="C25" s="62" t="s">
        <v>44</v>
      </c>
      <c r="D25" s="62">
        <v>5.0</v>
      </c>
      <c r="E25" s="62">
        <v>5.0</v>
      </c>
      <c r="F25" s="305">
        <f t="shared" si="1"/>
        <v>5</v>
      </c>
      <c r="G25" s="62">
        <v>5.0</v>
      </c>
      <c r="H25" s="62">
        <v>5.0</v>
      </c>
      <c r="I25" s="85">
        <f t="shared" si="2"/>
        <v>5</v>
      </c>
      <c r="J25" s="62">
        <v>5.0</v>
      </c>
      <c r="K25" s="62">
        <v>4.0</v>
      </c>
      <c r="L25" s="62">
        <v>4.0</v>
      </c>
      <c r="M25" s="62">
        <v>4.0</v>
      </c>
      <c r="N25" s="365">
        <f t="shared" si="3"/>
        <v>4</v>
      </c>
      <c r="O25" s="63">
        <v>6.0</v>
      </c>
      <c r="P25" s="62">
        <v>5.0</v>
      </c>
      <c r="Q25" s="62">
        <v>6.0</v>
      </c>
      <c r="R25" s="62">
        <v>6.0</v>
      </c>
      <c r="S25" s="62">
        <v>5.0</v>
      </c>
      <c r="T25" s="366">
        <f t="shared" si="4"/>
        <v>5.5</v>
      </c>
      <c r="U25" s="62">
        <v>5.0</v>
      </c>
      <c r="V25" s="62">
        <v>5.0</v>
      </c>
      <c r="W25" s="62">
        <v>6.0</v>
      </c>
      <c r="X25" s="68">
        <f t="shared" si="5"/>
        <v>5.333333333</v>
      </c>
      <c r="Y25" s="63">
        <v>5.0</v>
      </c>
      <c r="Z25" s="63">
        <v>5.0</v>
      </c>
      <c r="AA25" s="63">
        <v>5.0</v>
      </c>
      <c r="AB25" s="212">
        <f t="shared" si="6"/>
        <v>5.083333333</v>
      </c>
      <c r="AC25" s="63">
        <v>5.0</v>
      </c>
      <c r="AD25" s="63">
        <v>5.0</v>
      </c>
      <c r="AE25" s="63">
        <v>6.0</v>
      </c>
      <c r="AF25" s="63">
        <v>6.0</v>
      </c>
      <c r="AG25" s="67">
        <f t="shared" si="7"/>
        <v>5.666666667</v>
      </c>
      <c r="AH25" s="250">
        <v>5.0</v>
      </c>
      <c r="AI25" s="250">
        <v>5.0</v>
      </c>
      <c r="AJ25" s="476">
        <v>5.0</v>
      </c>
      <c r="AK25" s="476">
        <v>5.0</v>
      </c>
      <c r="AL25" s="70">
        <f t="shared" si="8"/>
        <v>5</v>
      </c>
      <c r="AM25" s="371">
        <f t="shared" si="9"/>
        <v>5.2</v>
      </c>
    </row>
    <row r="26" ht="19.5" customHeight="1">
      <c r="A26" s="74">
        <v>19.0</v>
      </c>
      <c r="B26" s="503" t="s">
        <v>710</v>
      </c>
      <c r="C26" s="62" t="s">
        <v>44</v>
      </c>
      <c r="D26" s="62">
        <v>5.0</v>
      </c>
      <c r="E26" s="62">
        <v>5.0</v>
      </c>
      <c r="F26" s="305">
        <f t="shared" si="1"/>
        <v>5</v>
      </c>
      <c r="G26" s="62">
        <v>4.0</v>
      </c>
      <c r="H26" s="62">
        <v>4.0</v>
      </c>
      <c r="I26" s="85">
        <f t="shared" si="2"/>
        <v>4</v>
      </c>
      <c r="J26" s="62">
        <v>5.0</v>
      </c>
      <c r="K26" s="62">
        <v>4.0</v>
      </c>
      <c r="L26" s="62">
        <v>4.0</v>
      </c>
      <c r="M26" s="62">
        <v>4.0</v>
      </c>
      <c r="N26" s="505">
        <v>0.0</v>
      </c>
      <c r="O26" s="63">
        <v>6.0</v>
      </c>
      <c r="P26" s="62">
        <v>5.0</v>
      </c>
      <c r="Q26" s="62">
        <v>6.0</v>
      </c>
      <c r="R26" s="62">
        <v>6.0</v>
      </c>
      <c r="S26" s="62">
        <v>5.0</v>
      </c>
      <c r="T26" s="366">
        <f t="shared" si="4"/>
        <v>5.5</v>
      </c>
      <c r="U26" s="62">
        <v>5.0</v>
      </c>
      <c r="V26" s="62">
        <v>5.0</v>
      </c>
      <c r="W26" s="62">
        <v>5.0</v>
      </c>
      <c r="X26" s="68">
        <f t="shared" si="5"/>
        <v>5</v>
      </c>
      <c r="Y26" s="63">
        <v>5.0</v>
      </c>
      <c r="Z26" s="63">
        <v>5.0</v>
      </c>
      <c r="AA26" s="63">
        <v>5.0</v>
      </c>
      <c r="AB26" s="212">
        <f t="shared" si="6"/>
        <v>5</v>
      </c>
      <c r="AC26" s="63">
        <v>5.0</v>
      </c>
      <c r="AD26" s="63">
        <v>5.0</v>
      </c>
      <c r="AE26" s="63">
        <v>6.0</v>
      </c>
      <c r="AF26" s="63">
        <v>6.0</v>
      </c>
      <c r="AG26" s="67">
        <f t="shared" si="7"/>
        <v>5.666666667</v>
      </c>
      <c r="AH26" s="250">
        <v>5.0</v>
      </c>
      <c r="AI26" s="250">
        <v>5.0</v>
      </c>
      <c r="AJ26" s="476">
        <v>5.0</v>
      </c>
      <c r="AK26" s="476">
        <v>5.0</v>
      </c>
      <c r="AL26" s="70">
        <f t="shared" si="8"/>
        <v>5</v>
      </c>
      <c r="AM26" s="371">
        <f t="shared" si="9"/>
        <v>5.2</v>
      </c>
    </row>
    <row r="27" ht="18.75" customHeight="1">
      <c r="A27" s="74">
        <v>20.0</v>
      </c>
      <c r="B27" s="503" t="s">
        <v>711</v>
      </c>
      <c r="C27" s="62" t="s">
        <v>44</v>
      </c>
      <c r="D27" s="62">
        <v>5.0</v>
      </c>
      <c r="E27" s="62">
        <v>5.0</v>
      </c>
      <c r="F27" s="305">
        <f t="shared" si="1"/>
        <v>5</v>
      </c>
      <c r="G27" s="506">
        <v>4.0</v>
      </c>
      <c r="H27" s="62">
        <v>4.0</v>
      </c>
      <c r="I27" s="85">
        <f t="shared" si="2"/>
        <v>4</v>
      </c>
      <c r="J27" s="62">
        <v>5.0</v>
      </c>
      <c r="K27" s="62">
        <v>4.0</v>
      </c>
      <c r="L27" s="62">
        <v>4.0</v>
      </c>
      <c r="M27" s="62">
        <v>4.0</v>
      </c>
      <c r="N27" s="365">
        <f t="shared" ref="N27:N45" si="10">SUM(L27:M27)/2</f>
        <v>4</v>
      </c>
      <c r="O27" s="63">
        <v>6.0</v>
      </c>
      <c r="P27" s="62">
        <v>5.0</v>
      </c>
      <c r="Q27" s="62">
        <v>6.0</v>
      </c>
      <c r="R27" s="62">
        <v>6.0</v>
      </c>
      <c r="S27" s="62">
        <v>5.0</v>
      </c>
      <c r="T27" s="366">
        <f t="shared" si="4"/>
        <v>5.5</v>
      </c>
      <c r="U27" s="62">
        <v>5.0</v>
      </c>
      <c r="V27" s="62">
        <v>5.0</v>
      </c>
      <c r="W27" s="62">
        <v>5.0</v>
      </c>
      <c r="X27" s="68">
        <f t="shared" si="5"/>
        <v>5</v>
      </c>
      <c r="Y27" s="63">
        <v>5.0</v>
      </c>
      <c r="Z27" s="63">
        <v>5.0</v>
      </c>
      <c r="AA27" s="63">
        <v>5.0</v>
      </c>
      <c r="AB27" s="212">
        <f t="shared" si="6"/>
        <v>5</v>
      </c>
      <c r="AC27" s="63">
        <v>5.0</v>
      </c>
      <c r="AD27" s="63">
        <v>5.0</v>
      </c>
      <c r="AE27" s="63">
        <v>6.0</v>
      </c>
      <c r="AF27" s="63">
        <v>6.0</v>
      </c>
      <c r="AG27" s="67">
        <f t="shared" si="7"/>
        <v>5.666666667</v>
      </c>
      <c r="AH27" s="250">
        <v>5.0</v>
      </c>
      <c r="AI27" s="250">
        <v>5.0</v>
      </c>
      <c r="AJ27" s="476">
        <v>5.0</v>
      </c>
      <c r="AK27" s="476">
        <v>5.0</v>
      </c>
      <c r="AL27" s="70">
        <f t="shared" si="8"/>
        <v>5</v>
      </c>
      <c r="AM27" s="371">
        <f t="shared" si="9"/>
        <v>5.2</v>
      </c>
    </row>
    <row r="28" ht="20.25" customHeight="1">
      <c r="A28" s="74">
        <v>21.0</v>
      </c>
      <c r="B28" s="503" t="s">
        <v>712</v>
      </c>
      <c r="C28" s="62" t="s">
        <v>44</v>
      </c>
      <c r="D28" s="62">
        <v>2.0</v>
      </c>
      <c r="E28" s="62">
        <v>2.0</v>
      </c>
      <c r="F28" s="305">
        <f t="shared" si="1"/>
        <v>2</v>
      </c>
      <c r="G28" s="62">
        <v>2.0</v>
      </c>
      <c r="H28" s="62">
        <v>2.0</v>
      </c>
      <c r="I28" s="85">
        <f t="shared" si="2"/>
        <v>2</v>
      </c>
      <c r="J28" s="62">
        <v>3.0</v>
      </c>
      <c r="K28" s="62">
        <v>2.0</v>
      </c>
      <c r="L28" s="62">
        <v>2.0</v>
      </c>
      <c r="M28" s="62">
        <v>2.0</v>
      </c>
      <c r="N28" s="365">
        <f t="shared" si="10"/>
        <v>2</v>
      </c>
      <c r="O28" s="63">
        <v>3.0</v>
      </c>
      <c r="P28" s="62">
        <v>3.0</v>
      </c>
      <c r="Q28" s="62">
        <v>3.0</v>
      </c>
      <c r="R28" s="62">
        <v>3.0</v>
      </c>
      <c r="S28" s="62">
        <v>3.0</v>
      </c>
      <c r="T28" s="366">
        <f t="shared" si="4"/>
        <v>3</v>
      </c>
      <c r="U28" s="62">
        <v>3.0</v>
      </c>
      <c r="V28" s="62">
        <v>3.0</v>
      </c>
      <c r="W28" s="62">
        <v>3.0</v>
      </c>
      <c r="X28" s="68">
        <f t="shared" si="5"/>
        <v>3</v>
      </c>
      <c r="Y28" s="63">
        <v>3.0</v>
      </c>
      <c r="Z28" s="63">
        <v>3.0</v>
      </c>
      <c r="AA28" s="63">
        <v>3.0</v>
      </c>
      <c r="AB28" s="212">
        <f t="shared" si="6"/>
        <v>3</v>
      </c>
      <c r="AC28" s="63">
        <v>4.0</v>
      </c>
      <c r="AD28" s="63">
        <v>4.0</v>
      </c>
      <c r="AE28" s="63">
        <v>4.0</v>
      </c>
      <c r="AF28" s="63">
        <v>4.0</v>
      </c>
      <c r="AG28" s="67">
        <f t="shared" si="7"/>
        <v>4</v>
      </c>
      <c r="AH28" s="250">
        <v>2.0</v>
      </c>
      <c r="AI28" s="250">
        <v>2.0</v>
      </c>
      <c r="AJ28" s="476">
        <v>2.0</v>
      </c>
      <c r="AK28" s="476">
        <v>2.0</v>
      </c>
      <c r="AL28" s="70">
        <f t="shared" si="8"/>
        <v>2</v>
      </c>
      <c r="AM28" s="371">
        <f t="shared" si="9"/>
        <v>2.8</v>
      </c>
    </row>
    <row r="29" ht="19.5" customHeight="1">
      <c r="A29" s="74">
        <v>22.0</v>
      </c>
      <c r="B29" s="503" t="s">
        <v>713</v>
      </c>
      <c r="C29" s="62" t="s">
        <v>44</v>
      </c>
      <c r="D29" s="62">
        <v>5.0</v>
      </c>
      <c r="E29" s="62">
        <v>5.0</v>
      </c>
      <c r="F29" s="305">
        <f t="shared" si="1"/>
        <v>5</v>
      </c>
      <c r="G29" s="62">
        <v>4.0</v>
      </c>
      <c r="H29" s="62">
        <v>4.0</v>
      </c>
      <c r="I29" s="85">
        <f t="shared" si="2"/>
        <v>4</v>
      </c>
      <c r="J29" s="62">
        <v>4.0</v>
      </c>
      <c r="K29" s="476">
        <v>4.0</v>
      </c>
      <c r="L29" s="476">
        <v>4.0</v>
      </c>
      <c r="M29" s="476">
        <v>4.0</v>
      </c>
      <c r="N29" s="365">
        <f t="shared" si="10"/>
        <v>4</v>
      </c>
      <c r="O29" s="63">
        <v>6.0</v>
      </c>
      <c r="P29" s="62">
        <v>5.0</v>
      </c>
      <c r="Q29" s="62">
        <v>5.0</v>
      </c>
      <c r="R29" s="62">
        <v>6.0</v>
      </c>
      <c r="S29" s="62">
        <v>5.0</v>
      </c>
      <c r="T29" s="366">
        <f t="shared" si="4"/>
        <v>5.5</v>
      </c>
      <c r="U29" s="62">
        <v>5.0</v>
      </c>
      <c r="V29" s="62">
        <v>5.0</v>
      </c>
      <c r="W29" s="62">
        <v>5.0</v>
      </c>
      <c r="X29" s="68">
        <f t="shared" si="5"/>
        <v>5</v>
      </c>
      <c r="Y29" s="63">
        <v>4.0</v>
      </c>
      <c r="Z29" s="63">
        <v>5.0</v>
      </c>
      <c r="AA29" s="63">
        <v>5.0</v>
      </c>
      <c r="AB29" s="212">
        <f t="shared" si="6"/>
        <v>4.75</v>
      </c>
      <c r="AC29" s="63">
        <v>5.0</v>
      </c>
      <c r="AD29" s="63">
        <v>5.0</v>
      </c>
      <c r="AE29" s="63">
        <v>6.0</v>
      </c>
      <c r="AF29" s="63">
        <v>6.0</v>
      </c>
      <c r="AG29" s="67">
        <f t="shared" si="7"/>
        <v>5.666666667</v>
      </c>
      <c r="AH29" s="250">
        <v>4.0</v>
      </c>
      <c r="AI29" s="250">
        <v>4.0</v>
      </c>
      <c r="AJ29" s="476">
        <v>4.0</v>
      </c>
      <c r="AK29" s="476">
        <v>4.0</v>
      </c>
      <c r="AL29" s="70">
        <f t="shared" si="8"/>
        <v>4</v>
      </c>
      <c r="AM29" s="371">
        <f t="shared" si="9"/>
        <v>4.8</v>
      </c>
    </row>
    <row r="30" ht="21.0" customHeight="1">
      <c r="A30" s="74">
        <v>23.0</v>
      </c>
      <c r="B30" s="503" t="s">
        <v>714</v>
      </c>
      <c r="C30" s="62" t="s">
        <v>44</v>
      </c>
      <c r="D30" s="62">
        <v>4.0</v>
      </c>
      <c r="E30" s="62">
        <v>4.0</v>
      </c>
      <c r="F30" s="305">
        <f t="shared" si="1"/>
        <v>4</v>
      </c>
      <c r="G30" s="62">
        <v>3.0</v>
      </c>
      <c r="H30" s="62">
        <v>3.0</v>
      </c>
      <c r="I30" s="85">
        <f t="shared" si="2"/>
        <v>3</v>
      </c>
      <c r="J30" s="62">
        <v>4.0</v>
      </c>
      <c r="K30" s="476">
        <v>3.0</v>
      </c>
      <c r="L30" s="476">
        <v>3.0</v>
      </c>
      <c r="M30" s="476">
        <v>3.0</v>
      </c>
      <c r="N30" s="365">
        <f t="shared" si="10"/>
        <v>3</v>
      </c>
      <c r="O30" s="63">
        <v>6.0</v>
      </c>
      <c r="P30" s="62">
        <v>5.0</v>
      </c>
      <c r="Q30" s="62">
        <v>5.0</v>
      </c>
      <c r="R30" s="62">
        <v>5.0</v>
      </c>
      <c r="S30" s="62">
        <v>5.0</v>
      </c>
      <c r="T30" s="366">
        <f t="shared" si="4"/>
        <v>5</v>
      </c>
      <c r="U30" s="62">
        <v>4.0</v>
      </c>
      <c r="V30" s="62">
        <v>4.0</v>
      </c>
      <c r="W30" s="62">
        <v>4.0</v>
      </c>
      <c r="X30" s="68">
        <f t="shared" si="5"/>
        <v>4</v>
      </c>
      <c r="Y30" s="63">
        <v>4.0</v>
      </c>
      <c r="Z30" s="63">
        <v>4.0</v>
      </c>
      <c r="AA30" s="63">
        <v>4.0</v>
      </c>
      <c r="AB30" s="212">
        <f t="shared" si="6"/>
        <v>4</v>
      </c>
      <c r="AC30" s="63">
        <v>4.0</v>
      </c>
      <c r="AD30" s="63">
        <v>4.0</v>
      </c>
      <c r="AE30" s="63">
        <v>4.0</v>
      </c>
      <c r="AF30" s="63">
        <v>4.0</v>
      </c>
      <c r="AG30" s="67">
        <f t="shared" si="7"/>
        <v>4</v>
      </c>
      <c r="AH30" s="250">
        <v>4.0</v>
      </c>
      <c r="AI30" s="250">
        <v>4.0</v>
      </c>
      <c r="AJ30" s="476">
        <v>4.0</v>
      </c>
      <c r="AK30" s="476">
        <v>4.0</v>
      </c>
      <c r="AL30" s="70">
        <f t="shared" si="8"/>
        <v>4</v>
      </c>
      <c r="AM30" s="371">
        <f t="shared" si="9"/>
        <v>4.4</v>
      </c>
    </row>
    <row r="31" ht="18.75" customHeight="1">
      <c r="A31" s="74">
        <v>24.0</v>
      </c>
      <c r="B31" s="503" t="s">
        <v>715</v>
      </c>
      <c r="C31" s="62" t="s">
        <v>45</v>
      </c>
      <c r="D31" s="62">
        <v>5.0</v>
      </c>
      <c r="E31" s="62">
        <v>4.0</v>
      </c>
      <c r="F31" s="305">
        <f t="shared" si="1"/>
        <v>4.5</v>
      </c>
      <c r="G31" s="62">
        <v>4.0</v>
      </c>
      <c r="H31" s="62">
        <v>4.0</v>
      </c>
      <c r="I31" s="85">
        <v>4.0</v>
      </c>
      <c r="J31" s="62">
        <v>5.0</v>
      </c>
      <c r="K31" s="476">
        <v>4.0</v>
      </c>
      <c r="L31" s="476">
        <v>4.0</v>
      </c>
      <c r="M31" s="476">
        <v>4.0</v>
      </c>
      <c r="N31" s="365">
        <f t="shared" si="10"/>
        <v>4</v>
      </c>
      <c r="O31" s="63">
        <v>6.0</v>
      </c>
      <c r="P31" s="62">
        <v>5.0</v>
      </c>
      <c r="Q31" s="62">
        <v>5.0</v>
      </c>
      <c r="R31" s="62">
        <v>5.0</v>
      </c>
      <c r="S31" s="62">
        <v>5.0</v>
      </c>
      <c r="T31" s="366">
        <f t="shared" si="4"/>
        <v>5</v>
      </c>
      <c r="U31" s="62">
        <v>5.0</v>
      </c>
      <c r="V31" s="62">
        <v>5.0</v>
      </c>
      <c r="W31" s="62">
        <v>5.0</v>
      </c>
      <c r="X31" s="68">
        <f t="shared" si="5"/>
        <v>5</v>
      </c>
      <c r="Y31" s="63">
        <v>5.0</v>
      </c>
      <c r="Z31" s="63">
        <v>5.0</v>
      </c>
      <c r="AA31" s="63">
        <v>5.0</v>
      </c>
      <c r="AB31" s="212">
        <f t="shared" si="6"/>
        <v>5</v>
      </c>
      <c r="AC31" s="63">
        <v>5.0</v>
      </c>
      <c r="AD31" s="259">
        <v>5.0</v>
      </c>
      <c r="AE31" s="63">
        <v>6.0</v>
      </c>
      <c r="AF31" s="63">
        <v>6.0</v>
      </c>
      <c r="AG31" s="67">
        <f t="shared" si="7"/>
        <v>5.666666667</v>
      </c>
      <c r="AH31" s="250">
        <v>4.0</v>
      </c>
      <c r="AI31" s="250">
        <v>4.0</v>
      </c>
      <c r="AJ31" s="476">
        <v>4.0</v>
      </c>
      <c r="AK31" s="476">
        <v>4.0</v>
      </c>
      <c r="AL31" s="70">
        <f t="shared" si="8"/>
        <v>4</v>
      </c>
      <c r="AM31" s="371">
        <f t="shared" si="9"/>
        <v>4.8</v>
      </c>
    </row>
    <row r="32" ht="19.5" customHeight="1">
      <c r="A32" s="74">
        <v>25.0</v>
      </c>
      <c r="B32" s="503" t="s">
        <v>716</v>
      </c>
      <c r="C32" s="62" t="s">
        <v>44</v>
      </c>
      <c r="D32" s="62">
        <v>6.0</v>
      </c>
      <c r="E32" s="62">
        <v>5.0</v>
      </c>
      <c r="F32" s="305">
        <f t="shared" si="1"/>
        <v>5.5</v>
      </c>
      <c r="G32" s="62">
        <v>5.0</v>
      </c>
      <c r="H32" s="62">
        <v>5.0</v>
      </c>
      <c r="I32" s="85">
        <f t="shared" ref="I32:I45" si="11">SUM(G32:H32)/2</f>
        <v>5</v>
      </c>
      <c r="J32" s="62">
        <v>6.0</v>
      </c>
      <c r="K32" s="476">
        <v>6.0</v>
      </c>
      <c r="L32" s="476">
        <v>6.0</v>
      </c>
      <c r="M32" s="476">
        <v>6.0</v>
      </c>
      <c r="N32" s="365">
        <f t="shared" si="10"/>
        <v>6</v>
      </c>
      <c r="O32" s="63">
        <v>6.0</v>
      </c>
      <c r="P32" s="62">
        <v>5.0</v>
      </c>
      <c r="Q32" s="62">
        <v>6.0</v>
      </c>
      <c r="R32" s="62">
        <v>6.0</v>
      </c>
      <c r="S32" s="62">
        <v>5.0</v>
      </c>
      <c r="T32" s="366">
        <f t="shared" si="4"/>
        <v>5.5</v>
      </c>
      <c r="U32" s="62">
        <v>6.0</v>
      </c>
      <c r="V32" s="62">
        <v>5.0</v>
      </c>
      <c r="W32" s="62">
        <v>6.0</v>
      </c>
      <c r="X32" s="68">
        <f t="shared" si="5"/>
        <v>5.666666667</v>
      </c>
      <c r="Y32" s="63">
        <v>5.0</v>
      </c>
      <c r="Z32" s="63">
        <v>5.0</v>
      </c>
      <c r="AA32" s="63">
        <v>5.0</v>
      </c>
      <c r="AB32" s="212">
        <f t="shared" si="6"/>
        <v>5.166666667</v>
      </c>
      <c r="AC32" s="63">
        <v>5.0</v>
      </c>
      <c r="AD32" s="63">
        <v>5.0</v>
      </c>
      <c r="AE32" s="63">
        <v>6.0</v>
      </c>
      <c r="AF32" s="63">
        <v>6.0</v>
      </c>
      <c r="AG32" s="67">
        <f t="shared" si="7"/>
        <v>5.666666667</v>
      </c>
      <c r="AH32" s="250">
        <v>5.0</v>
      </c>
      <c r="AI32" s="250">
        <v>5.0</v>
      </c>
      <c r="AJ32" s="476">
        <v>5.0</v>
      </c>
      <c r="AK32" s="476">
        <v>5.0</v>
      </c>
      <c r="AL32" s="70">
        <f t="shared" si="8"/>
        <v>5</v>
      </c>
      <c r="AM32" s="371">
        <f t="shared" si="9"/>
        <v>5.5</v>
      </c>
    </row>
    <row r="33" ht="21.0" customHeight="1">
      <c r="A33" s="74">
        <v>26.0</v>
      </c>
      <c r="B33" s="503" t="s">
        <v>717</v>
      </c>
      <c r="C33" s="62" t="s">
        <v>45</v>
      </c>
      <c r="D33" s="62">
        <v>5.0</v>
      </c>
      <c r="E33" s="62">
        <v>4.0</v>
      </c>
      <c r="F33" s="305">
        <f t="shared" si="1"/>
        <v>4.5</v>
      </c>
      <c r="G33" s="62">
        <v>4.0</v>
      </c>
      <c r="H33" s="62">
        <v>4.0</v>
      </c>
      <c r="I33" s="85">
        <f t="shared" si="11"/>
        <v>4</v>
      </c>
      <c r="J33" s="62">
        <v>4.0</v>
      </c>
      <c r="K33" s="476">
        <v>4.0</v>
      </c>
      <c r="L33" s="476">
        <v>4.0</v>
      </c>
      <c r="M33" s="476">
        <v>4.0</v>
      </c>
      <c r="N33" s="365">
        <f t="shared" si="10"/>
        <v>4</v>
      </c>
      <c r="O33" s="63">
        <v>6.0</v>
      </c>
      <c r="P33" s="62">
        <v>5.0</v>
      </c>
      <c r="Q33" s="62">
        <v>5.0</v>
      </c>
      <c r="R33" s="62">
        <v>6.0</v>
      </c>
      <c r="S33" s="62">
        <v>5.0</v>
      </c>
      <c r="T33" s="366">
        <f t="shared" si="4"/>
        <v>5.5</v>
      </c>
      <c r="U33" s="62">
        <v>5.0</v>
      </c>
      <c r="V33" s="62">
        <v>5.0</v>
      </c>
      <c r="W33" s="62">
        <v>5.0</v>
      </c>
      <c r="X33" s="68">
        <f t="shared" si="5"/>
        <v>5</v>
      </c>
      <c r="Y33" s="63">
        <v>4.0</v>
      </c>
      <c r="Z33" s="63">
        <v>5.0</v>
      </c>
      <c r="AA33" s="63">
        <v>5.0</v>
      </c>
      <c r="AB33" s="212">
        <f t="shared" si="6"/>
        <v>4.75</v>
      </c>
      <c r="AC33" s="63">
        <v>5.0</v>
      </c>
      <c r="AD33" s="63">
        <v>5.0</v>
      </c>
      <c r="AE33" s="63">
        <v>6.0</v>
      </c>
      <c r="AF33" s="63">
        <v>6.0</v>
      </c>
      <c r="AG33" s="67">
        <f t="shared" si="7"/>
        <v>5.666666667</v>
      </c>
      <c r="AH33" s="250">
        <v>4.0</v>
      </c>
      <c r="AI33" s="250">
        <v>4.0</v>
      </c>
      <c r="AJ33" s="476">
        <v>4.0</v>
      </c>
      <c r="AK33" s="476">
        <v>4.0</v>
      </c>
      <c r="AL33" s="70">
        <f t="shared" si="8"/>
        <v>4</v>
      </c>
      <c r="AM33" s="371">
        <f t="shared" si="9"/>
        <v>4.8</v>
      </c>
    </row>
    <row r="34" ht="20.25" customHeight="1">
      <c r="A34" s="74">
        <v>27.0</v>
      </c>
      <c r="B34" s="503" t="s">
        <v>718</v>
      </c>
      <c r="C34" s="65" t="s">
        <v>45</v>
      </c>
      <c r="D34" s="62">
        <v>5.0</v>
      </c>
      <c r="E34" s="62">
        <v>4.0</v>
      </c>
      <c r="F34" s="305">
        <f t="shared" si="1"/>
        <v>4.5</v>
      </c>
      <c r="G34" s="62">
        <v>4.0</v>
      </c>
      <c r="H34" s="62">
        <v>4.0</v>
      </c>
      <c r="I34" s="85">
        <f t="shared" si="11"/>
        <v>4</v>
      </c>
      <c r="J34" s="62">
        <v>4.0</v>
      </c>
      <c r="K34" s="62">
        <v>4.0</v>
      </c>
      <c r="L34" s="62">
        <v>4.0</v>
      </c>
      <c r="M34" s="62">
        <v>4.0</v>
      </c>
      <c r="N34" s="365">
        <f t="shared" si="10"/>
        <v>4</v>
      </c>
      <c r="O34" s="63">
        <v>6.0</v>
      </c>
      <c r="P34" s="62">
        <v>5.0</v>
      </c>
      <c r="Q34" s="62">
        <v>5.0</v>
      </c>
      <c r="R34" s="62">
        <v>6.0</v>
      </c>
      <c r="S34" s="62">
        <v>5.0</v>
      </c>
      <c r="T34" s="366">
        <f t="shared" si="4"/>
        <v>5.5</v>
      </c>
      <c r="U34" s="62">
        <v>5.0</v>
      </c>
      <c r="V34" s="62">
        <v>5.0</v>
      </c>
      <c r="W34" s="62">
        <v>5.0</v>
      </c>
      <c r="X34" s="68">
        <f t="shared" si="5"/>
        <v>5</v>
      </c>
      <c r="Y34" s="63">
        <v>4.0</v>
      </c>
      <c r="Z34" s="63">
        <v>5.0</v>
      </c>
      <c r="AA34" s="63">
        <v>5.0</v>
      </c>
      <c r="AB34" s="212">
        <f t="shared" si="6"/>
        <v>4.75</v>
      </c>
      <c r="AC34" s="63">
        <v>5.0</v>
      </c>
      <c r="AD34" s="63">
        <v>5.0</v>
      </c>
      <c r="AE34" s="63">
        <v>6.0</v>
      </c>
      <c r="AF34" s="63">
        <v>6.0</v>
      </c>
      <c r="AG34" s="67">
        <f t="shared" si="7"/>
        <v>5.666666667</v>
      </c>
      <c r="AH34" s="250">
        <v>4.0</v>
      </c>
      <c r="AI34" s="250">
        <v>4.0</v>
      </c>
      <c r="AJ34" s="213">
        <v>4.0</v>
      </c>
      <c r="AK34" s="63">
        <v>4.0</v>
      </c>
      <c r="AL34" s="70">
        <f t="shared" si="8"/>
        <v>4</v>
      </c>
      <c r="AM34" s="371">
        <v>5.0</v>
      </c>
    </row>
    <row r="35" ht="21.0" customHeight="1">
      <c r="A35" s="74">
        <v>28.0</v>
      </c>
      <c r="B35" s="503" t="s">
        <v>719</v>
      </c>
      <c r="C35" s="65" t="s">
        <v>45</v>
      </c>
      <c r="D35" s="62">
        <v>4.0</v>
      </c>
      <c r="E35" s="62">
        <v>4.0</v>
      </c>
      <c r="F35" s="305">
        <f t="shared" si="1"/>
        <v>4</v>
      </c>
      <c r="G35" s="62">
        <v>4.0</v>
      </c>
      <c r="H35" s="62">
        <v>4.0</v>
      </c>
      <c r="I35" s="85">
        <f t="shared" si="11"/>
        <v>4</v>
      </c>
      <c r="J35" s="62">
        <v>4.0</v>
      </c>
      <c r="K35" s="62">
        <v>4.0</v>
      </c>
      <c r="L35" s="62">
        <v>4.0</v>
      </c>
      <c r="M35" s="62">
        <v>4.0</v>
      </c>
      <c r="N35" s="365">
        <f t="shared" si="10"/>
        <v>4</v>
      </c>
      <c r="O35" s="63">
        <v>5.0</v>
      </c>
      <c r="P35" s="62">
        <v>5.0</v>
      </c>
      <c r="Q35" s="62">
        <v>5.0</v>
      </c>
      <c r="R35" s="62">
        <v>5.0</v>
      </c>
      <c r="S35" s="62">
        <v>5.0</v>
      </c>
      <c r="T35" s="366">
        <f t="shared" si="4"/>
        <v>5</v>
      </c>
      <c r="U35" s="62">
        <v>5.0</v>
      </c>
      <c r="V35" s="62">
        <v>5.0</v>
      </c>
      <c r="W35" s="62">
        <v>5.0</v>
      </c>
      <c r="X35" s="68">
        <f t="shared" si="5"/>
        <v>5</v>
      </c>
      <c r="Y35" s="63">
        <v>4.0</v>
      </c>
      <c r="Z35" s="63">
        <v>5.0</v>
      </c>
      <c r="AA35" s="63">
        <v>5.0</v>
      </c>
      <c r="AB35" s="212">
        <f t="shared" si="6"/>
        <v>4.75</v>
      </c>
      <c r="AC35" s="63">
        <v>5.0</v>
      </c>
      <c r="AD35" s="63">
        <v>5.0</v>
      </c>
      <c r="AE35" s="63">
        <v>5.0</v>
      </c>
      <c r="AF35" s="63">
        <v>5.0</v>
      </c>
      <c r="AG35" s="67">
        <f t="shared" si="7"/>
        <v>5</v>
      </c>
      <c r="AH35" s="250">
        <v>4.0</v>
      </c>
      <c r="AI35" s="250">
        <v>4.0</v>
      </c>
      <c r="AJ35" s="213">
        <v>4.0</v>
      </c>
      <c r="AK35" s="63">
        <v>4.0</v>
      </c>
      <c r="AL35" s="70">
        <f t="shared" si="8"/>
        <v>4</v>
      </c>
      <c r="AM35" s="371">
        <f>SUM(AL35,AH35,AC34,Y35,U35,R35,Q35,P35,O35,L35)/10</f>
        <v>4.6</v>
      </c>
    </row>
    <row r="36" ht="19.5" customHeight="1">
      <c r="A36" s="74">
        <v>29.0</v>
      </c>
      <c r="B36" s="503" t="s">
        <v>720</v>
      </c>
      <c r="C36" s="65" t="s">
        <v>45</v>
      </c>
      <c r="D36" s="62">
        <v>5.0</v>
      </c>
      <c r="E36" s="62">
        <v>4.0</v>
      </c>
      <c r="F36" s="305">
        <f t="shared" si="1"/>
        <v>4.5</v>
      </c>
      <c r="G36" s="62">
        <v>5.0</v>
      </c>
      <c r="H36" s="62">
        <v>5.0</v>
      </c>
      <c r="I36" s="85">
        <f t="shared" si="11"/>
        <v>5</v>
      </c>
      <c r="J36" s="62">
        <v>5.0</v>
      </c>
      <c r="K36" s="62">
        <v>4.0</v>
      </c>
      <c r="L36" s="62">
        <v>4.0</v>
      </c>
      <c r="M36" s="62">
        <v>4.0</v>
      </c>
      <c r="N36" s="365">
        <f t="shared" si="10"/>
        <v>4</v>
      </c>
      <c r="O36" s="63">
        <v>6.0</v>
      </c>
      <c r="P36" s="62">
        <v>5.0</v>
      </c>
      <c r="Q36" s="62">
        <v>5.0</v>
      </c>
      <c r="R36" s="62">
        <v>6.0</v>
      </c>
      <c r="S36" s="62">
        <v>5.0</v>
      </c>
      <c r="T36" s="366">
        <f t="shared" si="4"/>
        <v>5.5</v>
      </c>
      <c r="U36" s="62">
        <v>5.0</v>
      </c>
      <c r="V36" s="62">
        <v>5.0</v>
      </c>
      <c r="W36" s="62">
        <v>5.0</v>
      </c>
      <c r="X36" s="68">
        <f t="shared" si="5"/>
        <v>5</v>
      </c>
      <c r="Y36" s="63">
        <v>4.0</v>
      </c>
      <c r="Z36" s="63">
        <v>5.0</v>
      </c>
      <c r="AA36" s="63">
        <v>5.0</v>
      </c>
      <c r="AB36" s="212">
        <f t="shared" si="6"/>
        <v>4.75</v>
      </c>
      <c r="AC36" s="63">
        <v>5.0</v>
      </c>
      <c r="AD36" s="63">
        <v>5.0</v>
      </c>
      <c r="AE36" s="63">
        <v>6.0</v>
      </c>
      <c r="AF36" s="63">
        <v>6.0</v>
      </c>
      <c r="AG36" s="67">
        <f t="shared" si="7"/>
        <v>5.666666667</v>
      </c>
      <c r="AH36" s="250">
        <v>5.0</v>
      </c>
      <c r="AI36" s="250">
        <v>5.0</v>
      </c>
      <c r="AJ36" s="213">
        <v>5.0</v>
      </c>
      <c r="AK36" s="63">
        <v>5.0</v>
      </c>
      <c r="AL36" s="70">
        <f t="shared" si="8"/>
        <v>5</v>
      </c>
      <c r="AM36" s="371">
        <f t="shared" ref="AM36:AM45" si="12">SUM(AL36,AH36,AC36,Y36,U36,R36,Q36,P36,O36,L36)/10</f>
        <v>5</v>
      </c>
    </row>
    <row r="37" ht="19.5" customHeight="1">
      <c r="A37" s="74">
        <v>30.0</v>
      </c>
      <c r="B37" s="503" t="s">
        <v>721</v>
      </c>
      <c r="C37" s="65" t="s">
        <v>45</v>
      </c>
      <c r="D37" s="62">
        <v>3.0</v>
      </c>
      <c r="E37" s="62">
        <v>3.0</v>
      </c>
      <c r="F37" s="305">
        <f t="shared" si="1"/>
        <v>3</v>
      </c>
      <c r="G37" s="62">
        <v>3.0</v>
      </c>
      <c r="H37" s="62">
        <v>3.0</v>
      </c>
      <c r="I37" s="85">
        <f t="shared" si="11"/>
        <v>3</v>
      </c>
      <c r="J37" s="62">
        <v>3.0</v>
      </c>
      <c r="K37" s="62">
        <v>3.0</v>
      </c>
      <c r="L37" s="62">
        <v>3.0</v>
      </c>
      <c r="M37" s="62">
        <v>3.0</v>
      </c>
      <c r="N37" s="365">
        <f t="shared" si="10"/>
        <v>3</v>
      </c>
      <c r="O37" s="63">
        <v>4.0</v>
      </c>
      <c r="P37" s="62">
        <v>3.0</v>
      </c>
      <c r="Q37" s="62">
        <v>3.0</v>
      </c>
      <c r="R37" s="62">
        <v>3.0</v>
      </c>
      <c r="S37" s="62">
        <v>3.0</v>
      </c>
      <c r="T37" s="366">
        <f t="shared" si="4"/>
        <v>3</v>
      </c>
      <c r="U37" s="62">
        <v>4.0</v>
      </c>
      <c r="V37" s="62">
        <v>3.0</v>
      </c>
      <c r="W37" s="62">
        <v>3.0</v>
      </c>
      <c r="X37" s="68">
        <f t="shared" si="5"/>
        <v>3.333333333</v>
      </c>
      <c r="Y37" s="63">
        <v>3.0</v>
      </c>
      <c r="Z37" s="63">
        <v>3.0</v>
      </c>
      <c r="AA37" s="63">
        <v>3.0</v>
      </c>
      <c r="AB37" s="212">
        <f t="shared" si="6"/>
        <v>3.083333333</v>
      </c>
      <c r="AC37" s="63">
        <v>5.0</v>
      </c>
      <c r="AD37" s="63">
        <v>5.0</v>
      </c>
      <c r="AE37" s="63">
        <v>4.0</v>
      </c>
      <c r="AF37" s="63">
        <v>4.0</v>
      </c>
      <c r="AG37" s="67">
        <f t="shared" si="7"/>
        <v>4.333333333</v>
      </c>
      <c r="AH37" s="250">
        <v>3.0</v>
      </c>
      <c r="AI37" s="250">
        <v>3.0</v>
      </c>
      <c r="AJ37" s="213">
        <v>3.0</v>
      </c>
      <c r="AK37" s="63">
        <v>3.0</v>
      </c>
      <c r="AL37" s="70">
        <f t="shared" si="8"/>
        <v>3</v>
      </c>
      <c r="AM37" s="371">
        <f t="shared" si="12"/>
        <v>3.4</v>
      </c>
    </row>
    <row r="38" ht="19.5" customHeight="1">
      <c r="A38" s="74">
        <v>31.0</v>
      </c>
      <c r="B38" s="503" t="s">
        <v>722</v>
      </c>
      <c r="C38" s="65" t="s">
        <v>45</v>
      </c>
      <c r="D38" s="65">
        <v>6.0</v>
      </c>
      <c r="E38" s="65">
        <v>5.0</v>
      </c>
      <c r="F38" s="305">
        <f t="shared" si="1"/>
        <v>5.5</v>
      </c>
      <c r="G38" s="65">
        <v>5.0</v>
      </c>
      <c r="H38" s="65">
        <v>5.0</v>
      </c>
      <c r="I38" s="85">
        <f t="shared" si="11"/>
        <v>5</v>
      </c>
      <c r="J38" s="65">
        <v>6.0</v>
      </c>
      <c r="K38" s="65">
        <v>6.0</v>
      </c>
      <c r="L38" s="65">
        <v>6.0</v>
      </c>
      <c r="M38" s="65">
        <v>6.0</v>
      </c>
      <c r="N38" s="365">
        <f t="shared" si="10"/>
        <v>6</v>
      </c>
      <c r="O38" s="63">
        <v>6.0</v>
      </c>
      <c r="P38" s="62">
        <v>5.0</v>
      </c>
      <c r="Q38" s="62">
        <v>6.0</v>
      </c>
      <c r="R38" s="62">
        <v>6.0</v>
      </c>
      <c r="S38" s="62">
        <v>5.0</v>
      </c>
      <c r="T38" s="366">
        <f t="shared" si="4"/>
        <v>5.5</v>
      </c>
      <c r="U38" s="65">
        <v>6.0</v>
      </c>
      <c r="V38" s="65">
        <v>5.0</v>
      </c>
      <c r="W38" s="65">
        <v>6.0</v>
      </c>
      <c r="X38" s="68">
        <f t="shared" si="5"/>
        <v>5.666666667</v>
      </c>
      <c r="Y38" s="63">
        <v>5.0</v>
      </c>
      <c r="Z38" s="63">
        <v>5.0</v>
      </c>
      <c r="AA38" s="63">
        <v>5.0</v>
      </c>
      <c r="AB38" s="212">
        <f t="shared" si="6"/>
        <v>5.166666667</v>
      </c>
      <c r="AC38" s="63">
        <v>5.0</v>
      </c>
      <c r="AD38" s="63">
        <v>5.0</v>
      </c>
      <c r="AE38" s="63">
        <v>6.0</v>
      </c>
      <c r="AF38" s="63">
        <v>6.0</v>
      </c>
      <c r="AG38" s="67">
        <f t="shared" si="7"/>
        <v>5.666666667</v>
      </c>
      <c r="AH38" s="65">
        <v>5.0</v>
      </c>
      <c r="AI38" s="65">
        <v>5.0</v>
      </c>
      <c r="AJ38" s="65">
        <v>5.0</v>
      </c>
      <c r="AK38" s="65">
        <v>5.0</v>
      </c>
      <c r="AL38" s="70">
        <f t="shared" si="8"/>
        <v>5</v>
      </c>
      <c r="AM38" s="371">
        <f t="shared" si="12"/>
        <v>5.5</v>
      </c>
    </row>
    <row r="39" ht="18.75" customHeight="1">
      <c r="A39" s="74">
        <v>32.0</v>
      </c>
      <c r="B39" s="503" t="s">
        <v>723</v>
      </c>
      <c r="C39" s="65" t="s">
        <v>45</v>
      </c>
      <c r="D39" s="65">
        <v>5.0</v>
      </c>
      <c r="E39" s="65">
        <v>5.0</v>
      </c>
      <c r="F39" s="305">
        <f t="shared" si="1"/>
        <v>5</v>
      </c>
      <c r="G39" s="65">
        <v>4.0</v>
      </c>
      <c r="H39" s="65">
        <v>4.0</v>
      </c>
      <c r="I39" s="85">
        <f t="shared" si="11"/>
        <v>4</v>
      </c>
      <c r="J39" s="65">
        <v>5.0</v>
      </c>
      <c r="K39" s="65">
        <v>5.0</v>
      </c>
      <c r="L39" s="65">
        <v>5.0</v>
      </c>
      <c r="M39" s="65">
        <v>5.0</v>
      </c>
      <c r="N39" s="365">
        <f t="shared" si="10"/>
        <v>5</v>
      </c>
      <c r="O39" s="63">
        <v>6.0</v>
      </c>
      <c r="P39" s="62">
        <v>5.0</v>
      </c>
      <c r="Q39" s="62">
        <v>5.0</v>
      </c>
      <c r="R39" s="62">
        <v>6.0</v>
      </c>
      <c r="S39" s="62">
        <v>5.0</v>
      </c>
      <c r="T39" s="366">
        <f t="shared" si="4"/>
        <v>5.5</v>
      </c>
      <c r="U39" s="65">
        <v>5.0</v>
      </c>
      <c r="V39" s="65">
        <v>5.0</v>
      </c>
      <c r="W39" s="65">
        <v>5.0</v>
      </c>
      <c r="X39" s="68">
        <f t="shared" si="5"/>
        <v>5</v>
      </c>
      <c r="Y39" s="63">
        <v>4.0</v>
      </c>
      <c r="Z39" s="63">
        <v>5.0</v>
      </c>
      <c r="AA39" s="63">
        <v>5.0</v>
      </c>
      <c r="AB39" s="212">
        <f t="shared" si="6"/>
        <v>4.75</v>
      </c>
      <c r="AC39" s="63">
        <v>5.0</v>
      </c>
      <c r="AD39" s="63">
        <v>5.0</v>
      </c>
      <c r="AE39" s="63">
        <v>6.0</v>
      </c>
      <c r="AF39" s="63">
        <v>6.0</v>
      </c>
      <c r="AG39" s="67">
        <f t="shared" si="7"/>
        <v>5.666666667</v>
      </c>
      <c r="AH39" s="65">
        <v>5.0</v>
      </c>
      <c r="AI39" s="65">
        <v>5.0</v>
      </c>
      <c r="AJ39" s="65">
        <v>5.0</v>
      </c>
      <c r="AK39" s="65">
        <v>5.0</v>
      </c>
      <c r="AL39" s="70">
        <f t="shared" si="8"/>
        <v>5</v>
      </c>
      <c r="AM39" s="371">
        <f t="shared" si="12"/>
        <v>5.1</v>
      </c>
    </row>
    <row r="40" ht="18.0" customHeight="1">
      <c r="A40" s="74">
        <v>33.0</v>
      </c>
      <c r="B40" s="503" t="s">
        <v>724</v>
      </c>
      <c r="C40" s="65" t="s">
        <v>45</v>
      </c>
      <c r="D40" s="65">
        <v>6.0</v>
      </c>
      <c r="E40" s="65">
        <v>5.0</v>
      </c>
      <c r="F40" s="305">
        <f t="shared" si="1"/>
        <v>5.5</v>
      </c>
      <c r="G40" s="65">
        <v>5.0</v>
      </c>
      <c r="H40" s="65">
        <v>5.0</v>
      </c>
      <c r="I40" s="85">
        <f t="shared" si="11"/>
        <v>5</v>
      </c>
      <c r="J40" s="65">
        <v>6.0</v>
      </c>
      <c r="K40" s="65">
        <v>6.0</v>
      </c>
      <c r="L40" s="65">
        <v>6.0</v>
      </c>
      <c r="M40" s="65">
        <v>6.0</v>
      </c>
      <c r="N40" s="365">
        <f t="shared" si="10"/>
        <v>6</v>
      </c>
      <c r="O40" s="63">
        <v>6.0</v>
      </c>
      <c r="P40" s="62">
        <v>5.0</v>
      </c>
      <c r="Q40" s="62">
        <v>6.0</v>
      </c>
      <c r="R40" s="62">
        <v>6.0</v>
      </c>
      <c r="S40" s="62">
        <v>5.0</v>
      </c>
      <c r="T40" s="366">
        <f t="shared" si="4"/>
        <v>5.5</v>
      </c>
      <c r="U40" s="65">
        <v>6.0</v>
      </c>
      <c r="V40" s="65">
        <v>5.0</v>
      </c>
      <c r="W40" s="65">
        <v>6.0</v>
      </c>
      <c r="X40" s="68">
        <f t="shared" si="5"/>
        <v>5.666666667</v>
      </c>
      <c r="Y40" s="63">
        <v>5.0</v>
      </c>
      <c r="Z40" s="63">
        <v>5.0</v>
      </c>
      <c r="AA40" s="63">
        <v>5.0</v>
      </c>
      <c r="AB40" s="212">
        <f t="shared" si="6"/>
        <v>5.166666667</v>
      </c>
      <c r="AC40" s="63">
        <v>5.0</v>
      </c>
      <c r="AD40" s="63">
        <v>5.0</v>
      </c>
      <c r="AE40" s="63">
        <v>6.0</v>
      </c>
      <c r="AF40" s="63">
        <v>6.0</v>
      </c>
      <c r="AG40" s="67">
        <f t="shared" si="7"/>
        <v>5.666666667</v>
      </c>
      <c r="AH40" s="65">
        <v>5.0</v>
      </c>
      <c r="AI40" s="65">
        <v>5.0</v>
      </c>
      <c r="AJ40" s="65">
        <v>5.0</v>
      </c>
      <c r="AK40" s="65">
        <v>4.0</v>
      </c>
      <c r="AL40" s="70">
        <f t="shared" si="8"/>
        <v>4.666666667</v>
      </c>
      <c r="AM40" s="371">
        <f t="shared" si="12"/>
        <v>5.466666667</v>
      </c>
    </row>
    <row r="41" ht="19.5" customHeight="1">
      <c r="A41" s="74">
        <v>34.0</v>
      </c>
      <c r="B41" s="503" t="s">
        <v>725</v>
      </c>
      <c r="C41" s="65" t="s">
        <v>45</v>
      </c>
      <c r="D41" s="65">
        <v>6.0</v>
      </c>
      <c r="E41" s="65">
        <v>5.0</v>
      </c>
      <c r="F41" s="305">
        <f t="shared" si="1"/>
        <v>5.5</v>
      </c>
      <c r="G41" s="65">
        <v>5.0</v>
      </c>
      <c r="H41" s="65">
        <v>5.0</v>
      </c>
      <c r="I41" s="85">
        <f t="shared" si="11"/>
        <v>5</v>
      </c>
      <c r="J41" s="65">
        <v>6.0</v>
      </c>
      <c r="K41" s="65">
        <v>6.0</v>
      </c>
      <c r="L41" s="65">
        <v>6.0</v>
      </c>
      <c r="M41" s="65">
        <v>6.0</v>
      </c>
      <c r="N41" s="365">
        <f t="shared" si="10"/>
        <v>6</v>
      </c>
      <c r="O41" s="63">
        <v>6.0</v>
      </c>
      <c r="P41" s="62">
        <v>5.0</v>
      </c>
      <c r="Q41" s="62">
        <v>6.0</v>
      </c>
      <c r="R41" s="62">
        <v>6.0</v>
      </c>
      <c r="S41" s="62">
        <v>5.0</v>
      </c>
      <c r="T41" s="366">
        <f t="shared" si="4"/>
        <v>5.5</v>
      </c>
      <c r="U41" s="65">
        <v>6.0</v>
      </c>
      <c r="V41" s="65">
        <v>5.0</v>
      </c>
      <c r="W41" s="65">
        <v>6.0</v>
      </c>
      <c r="X41" s="68">
        <f t="shared" si="5"/>
        <v>5.666666667</v>
      </c>
      <c r="Y41" s="63">
        <v>5.0</v>
      </c>
      <c r="Z41" s="63">
        <v>5.0</v>
      </c>
      <c r="AA41" s="63">
        <v>5.0</v>
      </c>
      <c r="AB41" s="212">
        <f t="shared" si="6"/>
        <v>5.166666667</v>
      </c>
      <c r="AC41" s="63">
        <v>5.0</v>
      </c>
      <c r="AD41" s="63">
        <v>5.0</v>
      </c>
      <c r="AE41" s="63">
        <v>6.0</v>
      </c>
      <c r="AF41" s="63">
        <v>6.0</v>
      </c>
      <c r="AG41" s="67">
        <f t="shared" si="7"/>
        <v>5.666666667</v>
      </c>
      <c r="AH41" s="65">
        <v>5.0</v>
      </c>
      <c r="AI41" s="65">
        <v>5.0</v>
      </c>
      <c r="AJ41" s="65">
        <v>5.0</v>
      </c>
      <c r="AK41" s="65">
        <v>4.0</v>
      </c>
      <c r="AL41" s="70">
        <f t="shared" si="8"/>
        <v>4.666666667</v>
      </c>
      <c r="AM41" s="371">
        <f t="shared" si="12"/>
        <v>5.466666667</v>
      </c>
    </row>
    <row r="42" ht="19.5" customHeight="1">
      <c r="A42" s="74">
        <v>35.0</v>
      </c>
      <c r="B42" s="503" t="s">
        <v>726</v>
      </c>
      <c r="C42" s="65" t="s">
        <v>44</v>
      </c>
      <c r="D42" s="75">
        <v>5.0</v>
      </c>
      <c r="E42" s="75">
        <v>4.0</v>
      </c>
      <c r="F42" s="305">
        <f t="shared" si="1"/>
        <v>4.5</v>
      </c>
      <c r="G42" s="75">
        <v>4.0</v>
      </c>
      <c r="H42" s="75">
        <v>4.0</v>
      </c>
      <c r="I42" s="85">
        <f t="shared" si="11"/>
        <v>4</v>
      </c>
      <c r="J42" s="75">
        <v>4.0</v>
      </c>
      <c r="K42" s="75">
        <v>5.0</v>
      </c>
      <c r="L42" s="75">
        <v>5.0</v>
      </c>
      <c r="M42" s="75">
        <v>5.0</v>
      </c>
      <c r="N42" s="365">
        <f t="shared" si="10"/>
        <v>5</v>
      </c>
      <c r="O42" s="63">
        <v>6.0</v>
      </c>
      <c r="P42" s="75">
        <v>5.0</v>
      </c>
      <c r="Q42" s="75">
        <v>5.0</v>
      </c>
      <c r="R42" s="75">
        <v>6.0</v>
      </c>
      <c r="S42" s="75">
        <v>5.0</v>
      </c>
      <c r="T42" s="366">
        <f t="shared" si="4"/>
        <v>5.5</v>
      </c>
      <c r="U42" s="75">
        <v>5.0</v>
      </c>
      <c r="V42" s="75">
        <v>5.0</v>
      </c>
      <c r="W42" s="75">
        <v>5.0</v>
      </c>
      <c r="X42" s="68">
        <f t="shared" si="5"/>
        <v>5</v>
      </c>
      <c r="Y42" s="75">
        <v>4.0</v>
      </c>
      <c r="Z42" s="75">
        <v>5.0</v>
      </c>
      <c r="AA42" s="75">
        <v>5.0</v>
      </c>
      <c r="AB42" s="212">
        <f t="shared" si="6"/>
        <v>4.75</v>
      </c>
      <c r="AC42" s="75">
        <v>5.0</v>
      </c>
      <c r="AD42" s="75">
        <v>5.0</v>
      </c>
      <c r="AE42" s="75">
        <v>6.0</v>
      </c>
      <c r="AF42" s="75">
        <v>6.0</v>
      </c>
      <c r="AG42" s="67">
        <f t="shared" si="7"/>
        <v>5.666666667</v>
      </c>
      <c r="AH42" s="75">
        <v>4.0</v>
      </c>
      <c r="AI42" s="75">
        <v>4.0</v>
      </c>
      <c r="AJ42" s="75">
        <v>4.0</v>
      </c>
      <c r="AK42" s="75">
        <v>4.0</v>
      </c>
      <c r="AL42" s="70">
        <f t="shared" si="8"/>
        <v>4</v>
      </c>
      <c r="AM42" s="371">
        <f t="shared" si="12"/>
        <v>4.9</v>
      </c>
    </row>
    <row r="43" ht="19.5" customHeight="1">
      <c r="A43" s="74">
        <v>36.0</v>
      </c>
      <c r="B43" s="503" t="s">
        <v>727</v>
      </c>
      <c r="C43" s="65" t="s">
        <v>45</v>
      </c>
      <c r="D43" s="75">
        <v>5.0</v>
      </c>
      <c r="E43" s="75">
        <v>4.0</v>
      </c>
      <c r="F43" s="305">
        <f t="shared" si="1"/>
        <v>4.5</v>
      </c>
      <c r="G43" s="75">
        <v>4.0</v>
      </c>
      <c r="H43" s="75">
        <v>4.0</v>
      </c>
      <c r="I43" s="85">
        <f t="shared" si="11"/>
        <v>4</v>
      </c>
      <c r="J43" s="75">
        <v>5.0</v>
      </c>
      <c r="K43" s="75">
        <v>5.0</v>
      </c>
      <c r="L43" s="75">
        <v>5.0</v>
      </c>
      <c r="M43" s="75">
        <v>5.0</v>
      </c>
      <c r="N43" s="365">
        <f t="shared" si="10"/>
        <v>5</v>
      </c>
      <c r="O43" s="63">
        <v>6.0</v>
      </c>
      <c r="P43" s="75">
        <v>5.0</v>
      </c>
      <c r="Q43" s="75">
        <v>5.0</v>
      </c>
      <c r="R43" s="75">
        <v>6.0</v>
      </c>
      <c r="S43" s="75">
        <v>5.0</v>
      </c>
      <c r="T43" s="366">
        <f t="shared" si="4"/>
        <v>5.5</v>
      </c>
      <c r="U43" s="75">
        <v>5.0</v>
      </c>
      <c r="V43" s="75">
        <v>5.0</v>
      </c>
      <c r="W43" s="75">
        <v>5.0</v>
      </c>
      <c r="X43" s="68">
        <f t="shared" si="5"/>
        <v>5</v>
      </c>
      <c r="Y43" s="75">
        <v>5.0</v>
      </c>
      <c r="Z43" s="75">
        <v>5.0</v>
      </c>
      <c r="AA43" s="75">
        <v>5.0</v>
      </c>
      <c r="AB43" s="212">
        <f t="shared" si="6"/>
        <v>5</v>
      </c>
      <c r="AC43" s="75">
        <v>5.0</v>
      </c>
      <c r="AD43" s="75">
        <v>5.0</v>
      </c>
      <c r="AE43" s="75">
        <v>6.0</v>
      </c>
      <c r="AF43" s="75">
        <v>6.0</v>
      </c>
      <c r="AG43" s="67">
        <f t="shared" si="7"/>
        <v>5.666666667</v>
      </c>
      <c r="AH43" s="75">
        <v>4.0</v>
      </c>
      <c r="AI43" s="75">
        <v>4.0</v>
      </c>
      <c r="AJ43" s="75">
        <v>4.0</v>
      </c>
      <c r="AK43" s="75">
        <v>4.0</v>
      </c>
      <c r="AL43" s="70">
        <f t="shared" si="8"/>
        <v>4</v>
      </c>
      <c r="AM43" s="371">
        <f t="shared" si="12"/>
        <v>5</v>
      </c>
    </row>
    <row r="44" ht="18.0" customHeight="1">
      <c r="A44" s="74">
        <v>37.0</v>
      </c>
      <c r="B44" s="504"/>
      <c r="C44" s="65" t="s">
        <v>44</v>
      </c>
      <c r="D44" s="75"/>
      <c r="E44" s="75"/>
      <c r="F44" s="305">
        <f t="shared" si="1"/>
        <v>0</v>
      </c>
      <c r="G44" s="75"/>
      <c r="H44" s="75"/>
      <c r="I44" s="85">
        <f t="shared" si="11"/>
        <v>0</v>
      </c>
      <c r="J44" s="75"/>
      <c r="K44" s="75"/>
      <c r="L44" s="75"/>
      <c r="M44" s="75"/>
      <c r="N44" s="365">
        <f t="shared" si="10"/>
        <v>0</v>
      </c>
      <c r="O44" s="63"/>
      <c r="P44" s="75"/>
      <c r="Q44" s="75"/>
      <c r="R44" s="75"/>
      <c r="S44" s="75"/>
      <c r="T44" s="366">
        <f t="shared" si="4"/>
        <v>0</v>
      </c>
      <c r="U44" s="75"/>
      <c r="V44" s="75"/>
      <c r="W44" s="75"/>
      <c r="X44" s="68">
        <f t="shared" si="5"/>
        <v>0</v>
      </c>
      <c r="Y44" s="75"/>
      <c r="Z44" s="75"/>
      <c r="AA44" s="75"/>
      <c r="AB44" s="212">
        <f t="shared" si="6"/>
        <v>0</v>
      </c>
      <c r="AC44" s="75"/>
      <c r="AD44" s="75"/>
      <c r="AE44" s="75"/>
      <c r="AF44" s="75"/>
      <c r="AG44" s="67">
        <f t="shared" si="7"/>
        <v>0</v>
      </c>
      <c r="AH44" s="75"/>
      <c r="AI44" s="75"/>
      <c r="AJ44" s="75"/>
      <c r="AK44" s="75"/>
      <c r="AL44" s="70">
        <f t="shared" si="8"/>
        <v>0</v>
      </c>
      <c r="AM44" s="371">
        <f t="shared" si="12"/>
        <v>0</v>
      </c>
    </row>
    <row r="45" ht="15.75" customHeight="1">
      <c r="A45" s="84">
        <v>38.0</v>
      </c>
      <c r="B45" s="163"/>
      <c r="C45" s="163"/>
      <c r="D45" s="163"/>
      <c r="E45" s="163"/>
      <c r="F45" s="372">
        <f t="shared" si="1"/>
        <v>0</v>
      </c>
      <c r="G45" s="163"/>
      <c r="H45" s="163"/>
      <c r="I45" s="373">
        <f t="shared" si="11"/>
        <v>0</v>
      </c>
      <c r="J45" s="163"/>
      <c r="K45" s="163"/>
      <c r="L45" s="163"/>
      <c r="M45" s="163"/>
      <c r="N45" s="374">
        <f t="shared" si="10"/>
        <v>0</v>
      </c>
      <c r="O45" s="164"/>
      <c r="P45" s="163"/>
      <c r="Q45" s="163"/>
      <c r="R45" s="163"/>
      <c r="S45" s="163"/>
      <c r="T45" s="375">
        <f t="shared" si="4"/>
        <v>0</v>
      </c>
      <c r="U45" s="163"/>
      <c r="V45" s="163"/>
      <c r="W45" s="163"/>
      <c r="X45" s="166">
        <f t="shared" si="5"/>
        <v>0</v>
      </c>
      <c r="Y45" s="163"/>
      <c r="Z45" s="163"/>
      <c r="AA45" s="163"/>
      <c r="AB45" s="376">
        <f t="shared" si="6"/>
        <v>0</v>
      </c>
      <c r="AC45" s="163"/>
      <c r="AD45" s="163"/>
      <c r="AE45" s="163"/>
      <c r="AF45" s="163"/>
      <c r="AG45" s="377">
        <f t="shared" si="7"/>
        <v>0</v>
      </c>
      <c r="AH45" s="163"/>
      <c r="AI45" s="163"/>
      <c r="AJ45" s="163"/>
      <c r="AK45" s="163"/>
      <c r="AL45" s="168">
        <f t="shared" si="8"/>
        <v>0</v>
      </c>
      <c r="AM45" s="378">
        <f t="shared" si="12"/>
        <v>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6:B7"/>
    <mergeCell ref="C6:C7"/>
    <mergeCell ref="D6:F6"/>
    <mergeCell ref="G6:I6"/>
    <mergeCell ref="K6:N6"/>
    <mergeCell ref="P6:T6"/>
    <mergeCell ref="U6:X6"/>
    <mergeCell ref="Y6:AA6"/>
    <mergeCell ref="AC6:AG6"/>
    <mergeCell ref="AH6:AL6"/>
    <mergeCell ref="A1:AM1"/>
    <mergeCell ref="C3:P3"/>
    <mergeCell ref="Q3:U3"/>
    <mergeCell ref="V3:AE3"/>
    <mergeCell ref="C4:P4"/>
    <mergeCell ref="V4:AE4"/>
    <mergeCell ref="A6:A7"/>
    <mergeCell ref="AM6:AM7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2022-04-18T07:22:50Z</dcterms:created>
  <dc:creator>Microsoft Office User</dc:creator>
</cp:coreProperties>
</file>